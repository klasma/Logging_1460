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45641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45641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45641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45641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45641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45641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45641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45641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45641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45641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45641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45641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45641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45641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45641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45641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45641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45641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45641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45641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45641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45641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45641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45641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45641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45641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45641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45641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45641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45641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45641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45641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45641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45641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19722-2020</t>
        </is>
      </c>
      <c r="B36" s="1" t="n">
        <v>43941</v>
      </c>
      <c r="C36" s="1" t="n">
        <v>45641</v>
      </c>
      <c r="D36" t="inlineStr">
        <is>
          <t>VÄSTRA GÖTALANDS LÄN</t>
        </is>
      </c>
      <c r="E36" t="inlineStr">
        <is>
          <t>BENGTSFORS</t>
        </is>
      </c>
      <c r="G36" t="n">
        <v>7.9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19722-2020 artfynd.xlsx", "A 19722-2020")</f>
        <v/>
      </c>
      <c r="T36">
        <f>HYPERLINK("https://klasma.github.io/Logging_1460/kartor/A 19722-2020 karta.png", "A 19722-2020")</f>
        <v/>
      </c>
      <c r="V36">
        <f>HYPERLINK("https://klasma.github.io/Logging_1460/klagomål/A 19722-2020 FSC-klagomål.docx", "A 19722-2020")</f>
        <v/>
      </c>
      <c r="W36">
        <f>HYPERLINK("https://klasma.github.io/Logging_1460/klagomålsmail/A 19722-2020 FSC-klagomål mail.docx", "A 19722-2020")</f>
        <v/>
      </c>
      <c r="X36">
        <f>HYPERLINK("https://klasma.github.io/Logging_1460/tillsyn/A 19722-2020 tillsynsbegäran.docx", "A 19722-2020")</f>
        <v/>
      </c>
      <c r="Y36">
        <f>HYPERLINK("https://klasma.github.io/Logging_1460/tillsynsmail/A 19722-2020 tillsynsbegäran mail.docx", "A 19722-2020")</f>
        <v/>
      </c>
      <c r="Z36">
        <f>HYPERLINK("https://klasma.github.io/Logging_1460/fåglar/A 19722-2020 prioriterade fågelarter.docx", "A 19722-2020")</f>
        <v/>
      </c>
    </row>
    <row r="37" ht="15" customHeight="1">
      <c r="A37" t="inlineStr">
        <is>
          <t>A 41328-2020</t>
        </is>
      </c>
      <c r="B37" s="1" t="n">
        <v>44071</v>
      </c>
      <c r="C37" s="1" t="n">
        <v>45641</v>
      </c>
      <c r="D37" t="inlineStr">
        <is>
          <t>VÄSTRA GÖTALANDS LÄN</t>
        </is>
      </c>
      <c r="E37" t="inlineStr">
        <is>
          <t>BENGTSFORS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41328-2020 artfynd.xlsx", "A 41328-2020")</f>
        <v/>
      </c>
      <c r="T37">
        <f>HYPERLINK("https://klasma.github.io/Logging_1460/kartor/A 41328-2020 karta.png", "A 41328-2020")</f>
        <v/>
      </c>
      <c r="V37">
        <f>HYPERLINK("https://klasma.github.io/Logging_1460/klagomål/A 41328-2020 FSC-klagomål.docx", "A 41328-2020")</f>
        <v/>
      </c>
      <c r="W37">
        <f>HYPERLINK("https://klasma.github.io/Logging_1460/klagomålsmail/A 41328-2020 FSC-klagomål mail.docx", "A 41328-2020")</f>
        <v/>
      </c>
      <c r="X37">
        <f>HYPERLINK("https://klasma.github.io/Logging_1460/tillsyn/A 41328-2020 tillsynsbegäran.docx", "A 41328-2020")</f>
        <v/>
      </c>
      <c r="Y37">
        <f>HYPERLINK("https://klasma.github.io/Logging_1460/tillsynsmail/A 41328-2020 tillsynsbegäran mail.docx", "A 41328-2020")</f>
        <v/>
      </c>
      <c r="Z37">
        <f>HYPERLINK("https://klasma.github.io/Logging_1460/fåglar/A 41328-2020 prioriterade fågelarter.docx", "A 41328-2020")</f>
        <v/>
      </c>
    </row>
    <row r="38" ht="15" customHeight="1">
      <c r="A38" t="inlineStr">
        <is>
          <t>A 9043-2021</t>
        </is>
      </c>
      <c r="B38" s="1" t="n">
        <v>44249</v>
      </c>
      <c r="C38" s="1" t="n">
        <v>45641</v>
      </c>
      <c r="D38" t="inlineStr">
        <is>
          <t>VÄSTRA GÖTALANDS LÄN</t>
        </is>
      </c>
      <c r="E38" t="inlineStr">
        <is>
          <t>BENGTSFORS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HYPERLINK("https://klasma.github.io/Logging_1460/artfynd/A 9043-2021 artfynd.xlsx", "A 9043-2021")</f>
        <v/>
      </c>
      <c r="T38">
        <f>HYPERLINK("https://klasma.github.io/Logging_1460/kartor/A 9043-2021 karta.png", "A 9043-2021")</f>
        <v/>
      </c>
      <c r="V38">
        <f>HYPERLINK("https://klasma.github.io/Logging_1460/klagomål/A 9043-2021 FSC-klagomål.docx", "A 9043-2021")</f>
        <v/>
      </c>
      <c r="W38">
        <f>HYPERLINK("https://klasma.github.io/Logging_1460/klagomålsmail/A 9043-2021 FSC-klagomål mail.docx", "A 9043-2021")</f>
        <v/>
      </c>
      <c r="X38">
        <f>HYPERLINK("https://klasma.github.io/Logging_1460/tillsyn/A 9043-2021 tillsynsbegäran.docx", "A 9043-2021")</f>
        <v/>
      </c>
      <c r="Y38">
        <f>HYPERLINK("https://klasma.github.io/Logging_1460/tillsynsmail/A 9043-2021 tillsynsbegäran mail.docx", "A 9043-2021")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45641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28779-2021</t>
        </is>
      </c>
      <c r="B40" s="1" t="n">
        <v>44357</v>
      </c>
      <c r="C40" s="1" t="n">
        <v>45641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Enkelbeckasin</t>
        </is>
      </c>
      <c r="S40">
        <f>HYPERLINK("https://klasma.github.io/Logging_1460/artfynd/A 28779-2021 artfynd.xlsx", "A 28779-2021")</f>
        <v/>
      </c>
      <c r="T40">
        <f>HYPERLINK("https://klasma.github.io/Logging_1460/kartor/A 28779-2021 karta.png", "A 28779-2021")</f>
        <v/>
      </c>
      <c r="V40">
        <f>HYPERLINK("https://klasma.github.io/Logging_1460/klagomål/A 28779-2021 FSC-klagomål.docx", "A 28779-2021")</f>
        <v/>
      </c>
      <c r="W40">
        <f>HYPERLINK("https://klasma.github.io/Logging_1460/klagomålsmail/A 28779-2021 FSC-klagomål mail.docx", "A 28779-2021")</f>
        <v/>
      </c>
      <c r="X40">
        <f>HYPERLINK("https://klasma.github.io/Logging_1460/tillsyn/A 28779-2021 tillsynsbegäran.docx", "A 28779-2021")</f>
        <v/>
      </c>
      <c r="Y40">
        <f>HYPERLINK("https://klasma.github.io/Logging_1460/tillsynsmail/A 28779-2021 tillsynsbegäran mail.docx", "A 28779-2021")</f>
        <v/>
      </c>
      <c r="Z40">
        <f>HYPERLINK("https://klasma.github.io/Logging_1460/fåglar/A 28779-2021 prioriterade fågelarter.docx", "A 28779-2021")</f>
        <v/>
      </c>
    </row>
    <row r="41" ht="15" customHeight="1">
      <c r="A41" t="inlineStr">
        <is>
          <t>A 39804-2021</t>
        </is>
      </c>
      <c r="B41" s="1" t="n">
        <v>44417</v>
      </c>
      <c r="C41" s="1" t="n">
        <v>45641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HYPERLINK("https://klasma.github.io/Logging_1460/artfynd/A 39804-2021 artfynd.xlsx", "A 39804-2021")</f>
        <v/>
      </c>
      <c r="T41">
        <f>HYPERLINK("https://klasma.github.io/Logging_1460/kartor/A 39804-2021 karta.png", "A 39804-2021")</f>
        <v/>
      </c>
      <c r="V41">
        <f>HYPERLINK("https://klasma.github.io/Logging_1460/klagomål/A 39804-2021 FSC-klagomål.docx", "A 39804-2021")</f>
        <v/>
      </c>
      <c r="W41">
        <f>HYPERLINK("https://klasma.github.io/Logging_1460/klagomålsmail/A 39804-2021 FSC-klagomål mail.docx", "A 39804-2021")</f>
        <v/>
      </c>
      <c r="X41">
        <f>HYPERLINK("https://klasma.github.io/Logging_1460/tillsyn/A 39804-2021 tillsynsbegäran.docx", "A 39804-2021")</f>
        <v/>
      </c>
      <c r="Y41">
        <f>HYPERLINK("https://klasma.github.io/Logging_1460/tillsynsmail/A 39804-2021 tillsynsbegäran mail.docx", "A 39804-2021")</f>
        <v/>
      </c>
    </row>
    <row r="42" ht="15" customHeight="1">
      <c r="A42" t="inlineStr">
        <is>
          <t>A 47082-2021</t>
        </is>
      </c>
      <c r="B42" s="1" t="n">
        <v>44446</v>
      </c>
      <c r="C42" s="1" t="n">
        <v>45641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47082-2021 artfynd.xlsx", "A 47082-2021")</f>
        <v/>
      </c>
      <c r="T42">
        <f>HYPERLINK("https://klasma.github.io/Logging_1460/kartor/A 47082-2021 karta.png", "A 47082-2021")</f>
        <v/>
      </c>
      <c r="V42">
        <f>HYPERLINK("https://klasma.github.io/Logging_1460/klagomål/A 47082-2021 FSC-klagomål.docx", "A 47082-2021")</f>
        <v/>
      </c>
      <c r="W42">
        <f>HYPERLINK("https://klasma.github.io/Logging_1460/klagomålsmail/A 47082-2021 FSC-klagomål mail.docx", "A 47082-2021")</f>
        <v/>
      </c>
      <c r="X42">
        <f>HYPERLINK("https://klasma.github.io/Logging_1460/tillsyn/A 47082-2021 tillsynsbegäran.docx", "A 47082-2021")</f>
        <v/>
      </c>
      <c r="Y42">
        <f>HYPERLINK("https://klasma.github.io/Logging_1460/tillsynsmail/A 47082-2021 tillsynsbegäran mail.docx", "A 47082-2021")</f>
        <v/>
      </c>
    </row>
    <row r="43" ht="15" customHeight="1">
      <c r="A43" t="inlineStr">
        <is>
          <t>A 47084-2021</t>
        </is>
      </c>
      <c r="B43" s="1" t="n">
        <v>44446</v>
      </c>
      <c r="C43" s="1" t="n">
        <v>45641</v>
      </c>
      <c r="D43" t="inlineStr">
        <is>
          <t>VÄSTRA GÖTALANDS LÄN</t>
        </is>
      </c>
      <c r="E43" t="inlineStr">
        <is>
          <t>BENGTSFORS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HYPERLINK("https://klasma.github.io/Logging_1460/artfynd/A 47084-2021 artfynd.xlsx", "A 47084-2021")</f>
        <v/>
      </c>
      <c r="T43">
        <f>HYPERLINK("https://klasma.github.io/Logging_1460/kartor/A 47084-2021 karta.png", "A 47084-2021")</f>
        <v/>
      </c>
      <c r="V43">
        <f>HYPERLINK("https://klasma.github.io/Logging_1460/klagomål/A 47084-2021 FSC-klagomål.docx", "A 47084-2021")</f>
        <v/>
      </c>
      <c r="W43">
        <f>HYPERLINK("https://klasma.github.io/Logging_1460/klagomålsmail/A 47084-2021 FSC-klagomål mail.docx", "A 47084-2021")</f>
        <v/>
      </c>
      <c r="X43">
        <f>HYPERLINK("https://klasma.github.io/Logging_1460/tillsyn/A 47084-2021 tillsynsbegäran.docx", "A 47084-2021")</f>
        <v/>
      </c>
      <c r="Y43">
        <f>HYPERLINK("https://klasma.github.io/Logging_1460/tillsynsmail/A 47084-2021 tillsynsbegäran mail.docx", "A 47084-2021")</f>
        <v/>
      </c>
    </row>
    <row r="44" ht="15" customHeight="1">
      <c r="A44" t="inlineStr">
        <is>
          <t>A 63729-2021</t>
        </is>
      </c>
      <c r="B44" s="1" t="n">
        <v>44508</v>
      </c>
      <c r="C44" s="1" t="n">
        <v>45641</v>
      </c>
      <c r="D44" t="inlineStr">
        <is>
          <t>VÄSTRA GÖTALANDS LÄN</t>
        </is>
      </c>
      <c r="E44" t="inlineStr">
        <is>
          <t>BENGTSFORS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63729-2021 artfynd.xlsx", "A 63729-2021")</f>
        <v/>
      </c>
      <c r="T44">
        <f>HYPERLINK("https://klasma.github.io/Logging_1460/kartor/A 63729-2021 karta.png", "A 63729-2021")</f>
        <v/>
      </c>
      <c r="V44">
        <f>HYPERLINK("https://klasma.github.io/Logging_1460/klagomål/A 63729-2021 FSC-klagomål.docx", "A 63729-2021")</f>
        <v/>
      </c>
      <c r="W44">
        <f>HYPERLINK("https://klasma.github.io/Logging_1460/klagomålsmail/A 63729-2021 FSC-klagomål mail.docx", "A 63729-2021")</f>
        <v/>
      </c>
      <c r="X44">
        <f>HYPERLINK("https://klasma.github.io/Logging_1460/tillsyn/A 63729-2021 tillsynsbegäran.docx", "A 63729-2021")</f>
        <v/>
      </c>
      <c r="Y44">
        <f>HYPERLINK("https://klasma.github.io/Logging_1460/tillsynsmail/A 63729-2021 tillsynsbegäran mail.docx", "A 63729-2021")</f>
        <v/>
      </c>
    </row>
    <row r="45" ht="15" customHeight="1">
      <c r="A45" t="inlineStr">
        <is>
          <t>A 26867-2022</t>
        </is>
      </c>
      <c r="B45" s="1" t="n">
        <v>44740</v>
      </c>
      <c r="C45" s="1" t="n">
        <v>45641</v>
      </c>
      <c r="D45" t="inlineStr">
        <is>
          <t>VÄSTRA GÖTALANDS LÄN</t>
        </is>
      </c>
      <c r="E45" t="inlineStr">
        <is>
          <t>BENGTSFORS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HYPERLINK("https://klasma.github.io/Logging_1460/artfynd/A 26867-2022 artfynd.xlsx", "A 26867-2022")</f>
        <v/>
      </c>
      <c r="T45">
        <f>HYPERLINK("https://klasma.github.io/Logging_1460/kartor/A 26867-2022 karta.png", "A 26867-2022")</f>
        <v/>
      </c>
      <c r="V45">
        <f>HYPERLINK("https://klasma.github.io/Logging_1460/klagomål/A 26867-2022 FSC-klagomål.docx", "A 26867-2022")</f>
        <v/>
      </c>
      <c r="W45">
        <f>HYPERLINK("https://klasma.github.io/Logging_1460/klagomålsmail/A 26867-2022 FSC-klagomål mail.docx", "A 26867-2022")</f>
        <v/>
      </c>
      <c r="X45">
        <f>HYPERLINK("https://klasma.github.io/Logging_1460/tillsyn/A 26867-2022 tillsynsbegäran.docx", "A 26867-2022")</f>
        <v/>
      </c>
      <c r="Y45">
        <f>HYPERLINK("https://klasma.github.io/Logging_1460/tillsynsmail/A 26867-2022 tillsynsbegäran mail.docx", "A 26867-2022")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45641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29204-2022</t>
        </is>
      </c>
      <c r="B47" s="1" t="n">
        <v>44750</v>
      </c>
      <c r="C47" s="1" t="n">
        <v>45641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31015-2022</t>
        </is>
      </c>
      <c r="B48" s="1" t="n">
        <v>44768</v>
      </c>
      <c r="C48" s="1" t="n">
        <v>45641</v>
      </c>
      <c r="D48" t="inlineStr">
        <is>
          <t>VÄSTRA GÖTALANDS LÄN</t>
        </is>
      </c>
      <c r="E48" t="inlineStr">
        <is>
          <t>BENGTSFORS</t>
        </is>
      </c>
      <c r="G48" t="n">
        <v>17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HYPERLINK("https://klasma.github.io/Logging_1460/artfynd/A 31015-2022 artfynd.xlsx", "A 31015-2022")</f>
        <v/>
      </c>
      <c r="T48">
        <f>HYPERLINK("https://klasma.github.io/Logging_1460/kartor/A 31015-2022 karta.png", "A 31015-2022")</f>
        <v/>
      </c>
      <c r="V48">
        <f>HYPERLINK("https://klasma.github.io/Logging_1460/klagomål/A 31015-2022 FSC-klagomål.docx", "A 31015-2022")</f>
        <v/>
      </c>
      <c r="W48">
        <f>HYPERLINK("https://klasma.github.io/Logging_1460/klagomålsmail/A 31015-2022 FSC-klagomål mail.docx", "A 31015-2022")</f>
        <v/>
      </c>
      <c r="X48">
        <f>HYPERLINK("https://klasma.github.io/Logging_1460/tillsyn/A 31015-2022 tillsynsbegäran.docx", "A 31015-2022")</f>
        <v/>
      </c>
      <c r="Y48">
        <f>HYPERLINK("https://klasma.github.io/Logging_1460/tillsynsmail/A 31015-2022 tillsynsbegäran mail.docx", "A 31015-2022")</f>
        <v/>
      </c>
      <c r="Z48">
        <f>HYPERLINK("https://klasma.github.io/Logging_1460/fåglar/A 31015-2022 prioriterade fågelarter.docx", "A 31015-2022")</f>
        <v/>
      </c>
    </row>
    <row r="49" ht="15" customHeight="1">
      <c r="A49" t="inlineStr">
        <is>
          <t>A 54032-2022</t>
        </is>
      </c>
      <c r="B49" s="1" t="n">
        <v>44881</v>
      </c>
      <c r="C49" s="1" t="n">
        <v>45641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HYPERLINK("https://klasma.github.io/Logging_1460/artfynd/A 54032-2022 artfynd.xlsx", "A 54032-2022")</f>
        <v/>
      </c>
      <c r="T49">
        <f>HYPERLINK("https://klasma.github.io/Logging_1460/kartor/A 54032-2022 karta.png", "A 54032-2022")</f>
        <v/>
      </c>
      <c r="V49">
        <f>HYPERLINK("https://klasma.github.io/Logging_1460/klagomål/A 54032-2022 FSC-klagomål.docx", "A 54032-2022")</f>
        <v/>
      </c>
      <c r="W49">
        <f>HYPERLINK("https://klasma.github.io/Logging_1460/klagomålsmail/A 54032-2022 FSC-klagomål mail.docx", "A 54032-2022")</f>
        <v/>
      </c>
      <c r="X49">
        <f>HYPERLINK("https://klasma.github.io/Logging_1460/tillsyn/A 54032-2022 tillsynsbegäran.docx", "A 54032-2022")</f>
        <v/>
      </c>
      <c r="Y49">
        <f>HYPERLINK("https://klasma.github.io/Logging_1460/tillsynsmail/A 54032-2022 tillsynsbegäran mail.docx", "A 54032-2022")</f>
        <v/>
      </c>
    </row>
    <row r="50" ht="15" customHeight="1">
      <c r="A50" t="inlineStr">
        <is>
          <t>A 56006-2022</t>
        </is>
      </c>
      <c r="B50" s="1" t="n">
        <v>44889</v>
      </c>
      <c r="C50" s="1" t="n">
        <v>45641</v>
      </c>
      <c r="D50" t="inlineStr">
        <is>
          <t>VÄSTRA GÖTALANDS LÄN</t>
        </is>
      </c>
      <c r="E50" t="inlineStr">
        <is>
          <t>BENGTSFORS</t>
        </is>
      </c>
      <c r="G50" t="n">
        <v>6.4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56006-2022 artfynd.xlsx", "A 56006-2022")</f>
        <v/>
      </c>
      <c r="T50">
        <f>HYPERLINK("https://klasma.github.io/Logging_1460/kartor/A 56006-2022 karta.png", "A 56006-2022")</f>
        <v/>
      </c>
      <c r="V50">
        <f>HYPERLINK("https://klasma.github.io/Logging_1460/klagomål/A 56006-2022 FSC-klagomål.docx", "A 56006-2022")</f>
        <v/>
      </c>
      <c r="W50">
        <f>HYPERLINK("https://klasma.github.io/Logging_1460/klagomålsmail/A 56006-2022 FSC-klagomål mail.docx", "A 56006-2022")</f>
        <v/>
      </c>
      <c r="X50">
        <f>HYPERLINK("https://klasma.github.io/Logging_1460/tillsyn/A 56006-2022 tillsynsbegäran.docx", "A 56006-2022")</f>
        <v/>
      </c>
      <c r="Y50">
        <f>HYPERLINK("https://klasma.github.io/Logging_1460/tillsynsmail/A 56006-2022 tillsynsbegäran mail.docx", "A 56006-2022")</f>
        <v/>
      </c>
    </row>
    <row r="51" ht="15" customHeight="1">
      <c r="A51" t="inlineStr">
        <is>
          <t>A 13053-2023</t>
        </is>
      </c>
      <c r="B51" s="1" t="n">
        <v>45002</v>
      </c>
      <c r="C51" s="1" t="n">
        <v>45641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HYPERLINK("https://klasma.github.io/Logging_1460/artfynd/A 13053-2023 artfynd.xlsx", "A 13053-2023")</f>
        <v/>
      </c>
      <c r="T51">
        <f>HYPERLINK("https://klasma.github.io/Logging_1460/kartor/A 13053-2023 karta.png", "A 13053-2023")</f>
        <v/>
      </c>
      <c r="V51">
        <f>HYPERLINK("https://klasma.github.io/Logging_1460/klagomål/A 13053-2023 FSC-klagomål.docx", "A 13053-2023")</f>
        <v/>
      </c>
      <c r="W51">
        <f>HYPERLINK("https://klasma.github.io/Logging_1460/klagomålsmail/A 13053-2023 FSC-klagomål mail.docx", "A 13053-2023")</f>
        <v/>
      </c>
      <c r="X51">
        <f>HYPERLINK("https://klasma.github.io/Logging_1460/tillsyn/A 13053-2023 tillsynsbegäran.docx", "A 13053-2023")</f>
        <v/>
      </c>
      <c r="Y51">
        <f>HYPERLINK("https://klasma.github.io/Logging_1460/tillsynsmail/A 13053-2023 tillsynsbegäran mail.docx", "A 13053-2023")</f>
        <v/>
      </c>
      <c r="Z51">
        <f>HYPERLINK("https://klasma.github.io/Logging_1460/fåglar/A 13053-2023 prioriterade fågelarter.docx", "A 13053-2023")</f>
        <v/>
      </c>
    </row>
    <row r="52" ht="15" customHeight="1">
      <c r="A52" t="inlineStr">
        <is>
          <t>A 21300-2023</t>
        </is>
      </c>
      <c r="B52" s="1" t="n">
        <v>45062</v>
      </c>
      <c r="C52" s="1" t="n">
        <v>45641</v>
      </c>
      <c r="D52" t="inlineStr">
        <is>
          <t>VÄSTRA GÖTALANDS LÄN</t>
        </is>
      </c>
      <c r="E52" t="inlineStr">
        <is>
          <t>BENGTSFORS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HYPERLINK("https://klasma.github.io/Logging_1460/artfynd/A 21300-2023 artfynd.xlsx", "A 21300-2023")</f>
        <v/>
      </c>
      <c r="T52">
        <f>HYPERLINK("https://klasma.github.io/Logging_1460/kartor/A 21300-2023 karta.png", "A 21300-2023")</f>
        <v/>
      </c>
      <c r="V52">
        <f>HYPERLINK("https://klasma.github.io/Logging_1460/klagomål/A 21300-2023 FSC-klagomål.docx", "A 21300-2023")</f>
        <v/>
      </c>
      <c r="W52">
        <f>HYPERLINK("https://klasma.github.io/Logging_1460/klagomålsmail/A 21300-2023 FSC-klagomål mail.docx", "A 21300-2023")</f>
        <v/>
      </c>
      <c r="X52">
        <f>HYPERLINK("https://klasma.github.io/Logging_1460/tillsyn/A 21300-2023 tillsynsbegäran.docx", "A 21300-2023")</f>
        <v/>
      </c>
      <c r="Y52">
        <f>HYPERLINK("https://klasma.github.io/Logging_1460/tillsynsmail/A 21300-2023 tillsynsbegäran mail.docx", "A 21300-2023")</f>
        <v/>
      </c>
    </row>
    <row r="53" ht="15" customHeight="1">
      <c r="A53" t="inlineStr">
        <is>
          <t>A 46409-2023</t>
        </is>
      </c>
      <c r="B53" s="1" t="n">
        <v>45197</v>
      </c>
      <c r="C53" s="1" t="n">
        <v>45641</v>
      </c>
      <c r="D53" t="inlineStr">
        <is>
          <t>VÄSTRA GÖTALANDS LÄN</t>
        </is>
      </c>
      <c r="E53" t="inlineStr">
        <is>
          <t>BENGTSFORS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HYPERLINK("https://klasma.github.io/Logging_1460/artfynd/A 46409-2023 artfynd.xlsx", "A 46409-2023")</f>
        <v/>
      </c>
      <c r="T53">
        <f>HYPERLINK("https://klasma.github.io/Logging_1460/kartor/A 46409-2023 karta.png", "A 46409-2023")</f>
        <v/>
      </c>
      <c r="V53">
        <f>HYPERLINK("https://klasma.github.io/Logging_1460/klagomål/A 46409-2023 FSC-klagomål.docx", "A 46409-2023")</f>
        <v/>
      </c>
      <c r="W53">
        <f>HYPERLINK("https://klasma.github.io/Logging_1460/klagomålsmail/A 46409-2023 FSC-klagomål mail.docx", "A 46409-2023")</f>
        <v/>
      </c>
      <c r="X53">
        <f>HYPERLINK("https://klasma.github.io/Logging_1460/tillsyn/A 46409-2023 tillsynsbegäran.docx", "A 46409-2023")</f>
        <v/>
      </c>
      <c r="Y53">
        <f>HYPERLINK("https://klasma.github.io/Logging_1460/tillsynsmail/A 46409-2023 tillsynsbegäran mail.docx", "A 46409-2023")</f>
        <v/>
      </c>
    </row>
    <row r="54" ht="15" customHeight="1">
      <c r="A54" t="inlineStr">
        <is>
          <t>A 49153-2023</t>
        </is>
      </c>
      <c r="B54" s="1" t="n">
        <v>45210</v>
      </c>
      <c r="C54" s="1" t="n">
        <v>45641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HYPERLINK("https://klasma.github.io/Logging_1460/artfynd/A 49153-2023 artfynd.xlsx", "A 49153-2023")</f>
        <v/>
      </c>
      <c r="T54">
        <f>HYPERLINK("https://klasma.github.io/Logging_1460/kartor/A 49153-2023 karta.png", "A 49153-2023")</f>
        <v/>
      </c>
      <c r="V54">
        <f>HYPERLINK("https://klasma.github.io/Logging_1460/klagomål/A 49153-2023 FSC-klagomål.docx", "A 49153-2023")</f>
        <v/>
      </c>
      <c r="W54">
        <f>HYPERLINK("https://klasma.github.io/Logging_1460/klagomålsmail/A 49153-2023 FSC-klagomål mail.docx", "A 49153-2023")</f>
        <v/>
      </c>
      <c r="X54">
        <f>HYPERLINK("https://klasma.github.io/Logging_1460/tillsyn/A 49153-2023 tillsynsbegäran.docx", "A 49153-2023")</f>
        <v/>
      </c>
      <c r="Y54">
        <f>HYPERLINK("https://klasma.github.io/Logging_1460/tillsynsmail/A 49153-2023 tillsynsbegäran mail.docx", "A 49153-2023")</f>
        <v/>
      </c>
    </row>
    <row r="55" ht="15" customHeight="1">
      <c r="A55" t="inlineStr">
        <is>
          <t>A 54839-2023</t>
        </is>
      </c>
      <c r="B55" s="1" t="n">
        <v>45236</v>
      </c>
      <c r="C55" s="1" t="n">
        <v>45641</v>
      </c>
      <c r="D55" t="inlineStr">
        <is>
          <t>VÄSTRA GÖTALANDS LÄN</t>
        </is>
      </c>
      <c r="E55" t="inlineStr">
        <is>
          <t>BENGTSFORS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Klippfrullania</t>
        </is>
      </c>
      <c r="S55">
        <f>HYPERLINK("https://klasma.github.io/Logging_1460/artfynd/A 54839-2023 artfynd.xlsx", "A 54839-2023")</f>
        <v/>
      </c>
      <c r="T55">
        <f>HYPERLINK("https://klasma.github.io/Logging_1460/kartor/A 54839-2023 karta.png", "A 54839-2023")</f>
        <v/>
      </c>
      <c r="V55">
        <f>HYPERLINK("https://klasma.github.io/Logging_1460/klagomål/A 54839-2023 FSC-klagomål.docx", "A 54839-2023")</f>
        <v/>
      </c>
      <c r="W55">
        <f>HYPERLINK("https://klasma.github.io/Logging_1460/klagomålsmail/A 54839-2023 FSC-klagomål mail.docx", "A 54839-2023")</f>
        <v/>
      </c>
      <c r="X55">
        <f>HYPERLINK("https://klasma.github.io/Logging_1460/tillsyn/A 54839-2023 tillsynsbegäran.docx", "A 54839-2023")</f>
        <v/>
      </c>
      <c r="Y55">
        <f>HYPERLINK("https://klasma.github.io/Logging_1460/tillsynsmail/A 54839-2023 tillsynsbegäran mail.docx", "A 54839-2023")</f>
        <v/>
      </c>
    </row>
    <row r="56" ht="15" customHeight="1">
      <c r="A56" t="inlineStr">
        <is>
          <t>A 2504-2024</t>
        </is>
      </c>
      <c r="B56" s="1" t="n">
        <v>45313</v>
      </c>
      <c r="C56" s="1" t="n">
        <v>45641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HYPERLINK("https://klasma.github.io/Logging_1460/artfynd/A 2504-2024 artfynd.xlsx", "A 2504-2024")</f>
        <v/>
      </c>
      <c r="T56">
        <f>HYPERLINK("https://klasma.github.io/Logging_1460/kartor/A 2504-2024 karta.png", "A 2504-2024")</f>
        <v/>
      </c>
      <c r="V56">
        <f>HYPERLINK("https://klasma.github.io/Logging_1460/klagomål/A 2504-2024 FSC-klagomål.docx", "A 2504-2024")</f>
        <v/>
      </c>
      <c r="W56">
        <f>HYPERLINK("https://klasma.github.io/Logging_1460/klagomålsmail/A 2504-2024 FSC-klagomål mail.docx", "A 2504-2024")</f>
        <v/>
      </c>
      <c r="X56">
        <f>HYPERLINK("https://klasma.github.io/Logging_1460/tillsyn/A 2504-2024 tillsynsbegäran.docx", "A 2504-2024")</f>
        <v/>
      </c>
      <c r="Y56">
        <f>HYPERLINK("https://klasma.github.io/Logging_1460/tillsynsmail/A 2504-2024 tillsynsbegäran mail.docx", "A 2504-2024")</f>
        <v/>
      </c>
    </row>
    <row r="57" ht="15" customHeight="1">
      <c r="A57" t="inlineStr">
        <is>
          <t>A 5095-2024</t>
        </is>
      </c>
      <c r="B57" s="1" t="n">
        <v>45330</v>
      </c>
      <c r="C57" s="1" t="n">
        <v>45641</v>
      </c>
      <c r="D57" t="inlineStr">
        <is>
          <t>VÄSTRA GÖTALANDS LÄN</t>
        </is>
      </c>
      <c r="E57" t="inlineStr">
        <is>
          <t>BENGTSFORS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5095-2024 artfynd.xlsx", "A 5095-2024")</f>
        <v/>
      </c>
      <c r="T57">
        <f>HYPERLINK("https://klasma.github.io/Logging_1460/kartor/A 5095-2024 karta.png", "A 5095-2024")</f>
        <v/>
      </c>
      <c r="V57">
        <f>HYPERLINK("https://klasma.github.io/Logging_1460/klagomål/A 5095-2024 FSC-klagomål.docx", "A 5095-2024")</f>
        <v/>
      </c>
      <c r="W57">
        <f>HYPERLINK("https://klasma.github.io/Logging_1460/klagomålsmail/A 5095-2024 FSC-klagomål mail.docx", "A 5095-2024")</f>
        <v/>
      </c>
      <c r="X57">
        <f>HYPERLINK("https://klasma.github.io/Logging_1460/tillsyn/A 5095-2024 tillsynsbegäran.docx", "A 5095-2024")</f>
        <v/>
      </c>
      <c r="Y57">
        <f>HYPERLINK("https://klasma.github.io/Logging_1460/tillsynsmail/A 5095-2024 tillsynsbegäran mail.docx", "A 5095-2024")</f>
        <v/>
      </c>
    </row>
    <row r="58" ht="15" customHeight="1">
      <c r="A58" t="inlineStr">
        <is>
          <t>A 5971-2024</t>
        </is>
      </c>
      <c r="B58" s="1" t="n">
        <v>45336</v>
      </c>
      <c r="C58" s="1" t="n">
        <v>45641</v>
      </c>
      <c r="D58" t="inlineStr">
        <is>
          <t>VÄSTRA GÖTALANDS LÄN</t>
        </is>
      </c>
      <c r="E58" t="inlineStr">
        <is>
          <t>BENGTSFORS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5971-2024 artfynd.xlsx", "A 5971-2024")</f>
        <v/>
      </c>
      <c r="T58">
        <f>HYPERLINK("https://klasma.github.io/Logging_1460/kartor/A 5971-2024 karta.png", "A 5971-2024")</f>
        <v/>
      </c>
      <c r="V58">
        <f>HYPERLINK("https://klasma.github.io/Logging_1460/klagomål/A 5971-2024 FSC-klagomål.docx", "A 5971-2024")</f>
        <v/>
      </c>
      <c r="W58">
        <f>HYPERLINK("https://klasma.github.io/Logging_1460/klagomålsmail/A 5971-2024 FSC-klagomål mail.docx", "A 5971-2024")</f>
        <v/>
      </c>
      <c r="X58">
        <f>HYPERLINK("https://klasma.github.io/Logging_1460/tillsyn/A 5971-2024 tillsynsbegäran.docx", "A 5971-2024")</f>
        <v/>
      </c>
      <c r="Y58">
        <f>HYPERLINK("https://klasma.github.io/Logging_1460/tillsynsmail/A 5971-2024 tillsynsbegäran mail.docx", "A 5971-2024")</f>
        <v/>
      </c>
    </row>
    <row r="59" ht="15" customHeight="1">
      <c r="A59" t="inlineStr">
        <is>
          <t>A 24247-2024</t>
        </is>
      </c>
      <c r="B59" s="1" t="n">
        <v>45457</v>
      </c>
      <c r="C59" s="1" t="n">
        <v>45641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HYPERLINK("https://klasma.github.io/Logging_1460/artfynd/A 24247-2024 artfynd.xlsx", "A 24247-2024")</f>
        <v/>
      </c>
      <c r="T59">
        <f>HYPERLINK("https://klasma.github.io/Logging_1460/kartor/A 24247-2024 karta.png", "A 24247-2024")</f>
        <v/>
      </c>
      <c r="V59">
        <f>HYPERLINK("https://klasma.github.io/Logging_1460/klagomål/A 24247-2024 FSC-klagomål.docx", "A 24247-2024")</f>
        <v/>
      </c>
      <c r="W59">
        <f>HYPERLINK("https://klasma.github.io/Logging_1460/klagomålsmail/A 24247-2024 FSC-klagomål mail.docx", "A 24247-2024")</f>
        <v/>
      </c>
      <c r="X59">
        <f>HYPERLINK("https://klasma.github.io/Logging_1460/tillsyn/A 24247-2024 tillsynsbegäran.docx", "A 24247-2024")</f>
        <v/>
      </c>
      <c r="Y59">
        <f>HYPERLINK("https://klasma.github.io/Logging_1460/tillsynsmail/A 24247-2024 tillsynsbegäran mail.docx", "A 24247-2024")</f>
        <v/>
      </c>
    </row>
    <row r="60" ht="15" customHeight="1">
      <c r="A60" t="inlineStr">
        <is>
          <t>A 28280-2024</t>
        </is>
      </c>
      <c r="B60" s="1" t="n">
        <v>45477</v>
      </c>
      <c r="C60" s="1" t="n">
        <v>45641</v>
      </c>
      <c r="D60" t="inlineStr">
        <is>
          <t>VÄSTRA GÖTALANDS LÄN</t>
        </is>
      </c>
      <c r="E60" t="inlineStr">
        <is>
          <t>BENGTSFORS</t>
        </is>
      </c>
      <c r="G60" t="n">
        <v>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HYPERLINK("https://klasma.github.io/Logging_1460/artfynd/A 28280-2024 artfynd.xlsx", "A 28280-2024")</f>
        <v/>
      </c>
      <c r="T60">
        <f>HYPERLINK("https://klasma.github.io/Logging_1460/kartor/A 28280-2024 karta.png", "A 28280-2024")</f>
        <v/>
      </c>
      <c r="V60">
        <f>HYPERLINK("https://klasma.github.io/Logging_1460/klagomål/A 28280-2024 FSC-klagomål.docx", "A 28280-2024")</f>
        <v/>
      </c>
      <c r="W60">
        <f>HYPERLINK("https://klasma.github.io/Logging_1460/klagomålsmail/A 28280-2024 FSC-klagomål mail.docx", "A 28280-2024")</f>
        <v/>
      </c>
      <c r="X60">
        <f>HYPERLINK("https://klasma.github.io/Logging_1460/tillsyn/A 28280-2024 tillsynsbegäran.docx", "A 28280-2024")</f>
        <v/>
      </c>
      <c r="Y60">
        <f>HYPERLINK("https://klasma.github.io/Logging_1460/tillsynsmail/A 28280-2024 tillsynsbegäran mail.docx", "A 28280-2024")</f>
        <v/>
      </c>
    </row>
    <row r="61" ht="15" customHeight="1">
      <c r="A61" t="inlineStr">
        <is>
          <t>A 29775-2024</t>
        </is>
      </c>
      <c r="B61" s="1" t="n">
        <v>45485</v>
      </c>
      <c r="C61" s="1" t="n">
        <v>45641</v>
      </c>
      <c r="D61" t="inlineStr">
        <is>
          <t>VÄSTRA GÖTALANDS LÄN</t>
        </is>
      </c>
      <c r="E61" t="inlineStr">
        <is>
          <t>BENGTSFORS</t>
        </is>
      </c>
      <c r="G61" t="n">
        <v>7.2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29775-2024 artfynd.xlsx", "A 29775-2024")</f>
        <v/>
      </c>
      <c r="T61">
        <f>HYPERLINK("https://klasma.github.io/Logging_1460/kartor/A 29775-2024 karta.png", "A 29775-2024")</f>
        <v/>
      </c>
      <c r="V61">
        <f>HYPERLINK("https://klasma.github.io/Logging_1460/klagomål/A 29775-2024 FSC-klagomål.docx", "A 29775-2024")</f>
        <v/>
      </c>
      <c r="W61">
        <f>HYPERLINK("https://klasma.github.io/Logging_1460/klagomålsmail/A 29775-2024 FSC-klagomål mail.docx", "A 29775-2024")</f>
        <v/>
      </c>
      <c r="X61">
        <f>HYPERLINK("https://klasma.github.io/Logging_1460/tillsyn/A 29775-2024 tillsynsbegäran.docx", "A 29775-2024")</f>
        <v/>
      </c>
      <c r="Y61">
        <f>HYPERLINK("https://klasma.github.io/Logging_1460/tillsynsmail/A 29775-2024 tillsynsbegäran mail.docx", "A 29775-2024")</f>
        <v/>
      </c>
    </row>
    <row r="62" ht="15" customHeight="1">
      <c r="A62" t="inlineStr">
        <is>
          <t>A 41138-2024</t>
        </is>
      </c>
      <c r="B62" s="1" t="n">
        <v>45559</v>
      </c>
      <c r="C62" s="1" t="n">
        <v>45641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41138-2024 artfynd.xlsx", "A 41138-2024")</f>
        <v/>
      </c>
      <c r="T62">
        <f>HYPERLINK("https://klasma.github.io/Logging_1460/kartor/A 41138-2024 karta.png", "A 41138-2024")</f>
        <v/>
      </c>
      <c r="V62">
        <f>HYPERLINK("https://klasma.github.io/Logging_1460/klagomål/A 41138-2024 FSC-klagomål.docx", "A 41138-2024")</f>
        <v/>
      </c>
      <c r="W62">
        <f>HYPERLINK("https://klasma.github.io/Logging_1460/klagomålsmail/A 41138-2024 FSC-klagomål mail.docx", "A 41138-2024")</f>
        <v/>
      </c>
      <c r="X62">
        <f>HYPERLINK("https://klasma.github.io/Logging_1460/tillsyn/A 41138-2024 tillsynsbegäran.docx", "A 41138-2024")</f>
        <v/>
      </c>
      <c r="Y62">
        <f>HYPERLINK("https://klasma.github.io/Logging_1460/tillsynsmail/A 41138-2024 tillsynsbegäran mail.docx", "A 41138-2024")</f>
        <v/>
      </c>
      <c r="Z62">
        <f>HYPERLINK("https://klasma.github.io/Logging_1460/fåglar/A 41138-2024 prioriterade fågelarter.docx", "A 41138-2024")</f>
        <v/>
      </c>
    </row>
    <row r="63" ht="15" customHeight="1">
      <c r="A63" t="inlineStr">
        <is>
          <t>A 17772-2019</t>
        </is>
      </c>
      <c r="B63" s="1" t="n">
        <v>43556</v>
      </c>
      <c r="C63" s="1" t="n">
        <v>45641</v>
      </c>
      <c r="D63" t="inlineStr">
        <is>
          <t>VÄSTRA GÖTALANDS LÄN</t>
        </is>
      </c>
      <c r="E63" t="inlineStr">
        <is>
          <t>BENGTSFORS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18232-2019</t>
        </is>
      </c>
      <c r="B64" s="1" t="n">
        <v>43558</v>
      </c>
      <c r="C64" s="1" t="n">
        <v>45641</v>
      </c>
      <c r="D64" t="inlineStr">
        <is>
          <t>VÄSTRA GÖTALANDS LÄN</t>
        </is>
      </c>
      <c r="E64" t="inlineStr">
        <is>
          <t>BENGTSFORS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18678-2019</t>
        </is>
      </c>
      <c r="B65" s="1" t="n">
        <v>43560</v>
      </c>
      <c r="C65" s="1" t="n">
        <v>45641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19430-2019</t>
        </is>
      </c>
      <c r="B66" s="1" t="n">
        <v>43565</v>
      </c>
      <c r="C66" s="1" t="n">
        <v>45641</v>
      </c>
      <c r="D66" t="inlineStr">
        <is>
          <t>VÄSTRA GÖTALANDS LÄN</t>
        </is>
      </c>
      <c r="E66" t="inlineStr">
        <is>
          <t>BENGTSFORS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19394-2019</t>
        </is>
      </c>
      <c r="B67" s="1" t="n">
        <v>43565</v>
      </c>
      <c r="C67" s="1" t="n">
        <v>45641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19759-2019</t>
        </is>
      </c>
      <c r="B68" s="1" t="n">
        <v>43567</v>
      </c>
      <c r="C68" s="1" t="n">
        <v>45641</v>
      </c>
      <c r="D68" t="inlineStr">
        <is>
          <t>VÄSTRA GÖTALANDS LÄN</t>
        </is>
      </c>
      <c r="E68" t="inlineStr">
        <is>
          <t>BENGTSFORS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19865-2019</t>
        </is>
      </c>
      <c r="B69" s="1" t="n">
        <v>43567</v>
      </c>
      <c r="C69" s="1" t="n">
        <v>45641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20981-2019</t>
        </is>
      </c>
      <c r="B70" s="1" t="n">
        <v>43578</v>
      </c>
      <c r="C70" s="1" t="n">
        <v>45641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21306-2019</t>
        </is>
      </c>
      <c r="B71" s="1" t="n">
        <v>43579</v>
      </c>
      <c r="C71" s="1" t="n">
        <v>45641</v>
      </c>
      <c r="D71" t="inlineStr">
        <is>
          <t>VÄSTRA GÖTALANDS LÄN</t>
        </is>
      </c>
      <c r="E71" t="inlineStr">
        <is>
          <t>BENGTSFORS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21126-2019</t>
        </is>
      </c>
      <c r="B72" s="1" t="n">
        <v>43579</v>
      </c>
      <c r="C72" s="1" t="n">
        <v>45641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22550-2019</t>
        </is>
      </c>
      <c r="B73" s="1" t="n">
        <v>43587</v>
      </c>
      <c r="C73" s="1" t="n">
        <v>45641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23197-2019</t>
        </is>
      </c>
      <c r="B74" s="1" t="n">
        <v>43592</v>
      </c>
      <c r="C74" s="1" t="n">
        <v>45641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23452-2019</t>
        </is>
      </c>
      <c r="B75" s="1" t="n">
        <v>43593</v>
      </c>
      <c r="C75" s="1" t="n">
        <v>45641</v>
      </c>
      <c r="D75" t="inlineStr">
        <is>
          <t>VÄSTRA GÖTALANDS LÄN</t>
        </is>
      </c>
      <c r="E75" t="inlineStr">
        <is>
          <t>BENGTSFORS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24304-2019</t>
        </is>
      </c>
      <c r="B76" s="1" t="n">
        <v>43599</v>
      </c>
      <c r="C76" s="1" t="n">
        <v>45641</v>
      </c>
      <c r="D76" t="inlineStr">
        <is>
          <t>VÄSTRA GÖTALANDS LÄN</t>
        </is>
      </c>
      <c r="E76" t="inlineStr">
        <is>
          <t>BENGTSFORS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25595-2019</t>
        </is>
      </c>
      <c r="B77" s="1" t="n">
        <v>43601</v>
      </c>
      <c r="C77" s="1" t="n">
        <v>45641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26804-2019</t>
        </is>
      </c>
      <c r="B78" s="1" t="n">
        <v>43613</v>
      </c>
      <c r="C78" s="1" t="n">
        <v>45641</v>
      </c>
      <c r="D78" t="inlineStr">
        <is>
          <t>VÄSTRA GÖTALANDS LÄN</t>
        </is>
      </c>
      <c r="E78" t="inlineStr">
        <is>
          <t>BENGTSFORS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27019-2019</t>
        </is>
      </c>
      <c r="B79" s="1" t="n">
        <v>43613</v>
      </c>
      <c r="C79" s="1" t="n">
        <v>45641</v>
      </c>
      <c r="D79" t="inlineStr">
        <is>
          <t>VÄSTRA GÖTALANDS LÄN</t>
        </is>
      </c>
      <c r="E79" t="inlineStr">
        <is>
          <t>BENGTSFORS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27153-2019</t>
        </is>
      </c>
      <c r="B80" s="1" t="n">
        <v>43614</v>
      </c>
      <c r="C80" s="1" t="n">
        <v>45641</v>
      </c>
      <c r="D80" t="inlineStr">
        <is>
          <t>VÄSTRA GÖTALANDS LÄN</t>
        </is>
      </c>
      <c r="E80" t="inlineStr">
        <is>
          <t>BENGTSFORS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27465-2019</t>
        </is>
      </c>
      <c r="B81" s="1" t="n">
        <v>43618</v>
      </c>
      <c r="C81" s="1" t="n">
        <v>45641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27463-2019</t>
        </is>
      </c>
      <c r="B82" s="1" t="n">
        <v>43618</v>
      </c>
      <c r="C82" s="1" t="n">
        <v>45641</v>
      </c>
      <c r="D82" t="inlineStr">
        <is>
          <t>VÄSTRA GÖTALANDS LÄN</t>
        </is>
      </c>
      <c r="E82" t="inlineStr">
        <is>
          <t>BENGTSFORS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27484-2019</t>
        </is>
      </c>
      <c r="B83" s="1" t="n">
        <v>43619</v>
      </c>
      <c r="C83" s="1" t="n">
        <v>45641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28654-2019</t>
        </is>
      </c>
      <c r="B84" s="1" t="n">
        <v>43627</v>
      </c>
      <c r="C84" s="1" t="n">
        <v>45641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30098-2019</t>
        </is>
      </c>
      <c r="B85" s="1" t="n">
        <v>43633</v>
      </c>
      <c r="C85" s="1" t="n">
        <v>45641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29905-2019</t>
        </is>
      </c>
      <c r="B86" s="1" t="n">
        <v>43633</v>
      </c>
      <c r="C86" s="1" t="n">
        <v>45641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30538-2019</t>
        </is>
      </c>
      <c r="B87" s="1" t="n">
        <v>43635</v>
      </c>
      <c r="C87" s="1" t="n">
        <v>45641</v>
      </c>
      <c r="D87" t="inlineStr">
        <is>
          <t>VÄSTRA GÖTALANDS LÄN</t>
        </is>
      </c>
      <c r="E87" t="inlineStr">
        <is>
          <t>BENGTSFORS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30531-2019</t>
        </is>
      </c>
      <c r="B88" s="1" t="n">
        <v>43635</v>
      </c>
      <c r="C88" s="1" t="n">
        <v>45641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32534-2019</t>
        </is>
      </c>
      <c r="B89" s="1" t="n">
        <v>43646</v>
      </c>
      <c r="C89" s="1" t="n">
        <v>45641</v>
      </c>
      <c r="D89" t="inlineStr">
        <is>
          <t>VÄSTRA GÖTALANDS LÄN</t>
        </is>
      </c>
      <c r="E89" t="inlineStr">
        <is>
          <t>BENGTSFORS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32545-2019</t>
        </is>
      </c>
      <c r="B90" s="1" t="n">
        <v>43647</v>
      </c>
      <c r="C90" s="1" t="n">
        <v>45641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34716-2019</t>
        </is>
      </c>
      <c r="B91" s="1" t="n">
        <v>43648</v>
      </c>
      <c r="C91" s="1" t="n">
        <v>45641</v>
      </c>
      <c r="D91" t="inlineStr">
        <is>
          <t>VÄSTRA GÖTALANDS LÄN</t>
        </is>
      </c>
      <c r="E91" t="inlineStr">
        <is>
          <t>BENGTSFORS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35676-2019</t>
        </is>
      </c>
      <c r="B92" s="1" t="n">
        <v>43655</v>
      </c>
      <c r="C92" s="1" t="n">
        <v>45641</v>
      </c>
      <c r="D92" t="inlineStr">
        <is>
          <t>VÄSTRA GÖTALANDS LÄN</t>
        </is>
      </c>
      <c r="E92" t="inlineStr">
        <is>
          <t>BENGTSFORS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34878-2019</t>
        </is>
      </c>
      <c r="B93" s="1" t="n">
        <v>43658</v>
      </c>
      <c r="C93" s="1" t="n">
        <v>45641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36401-2019</t>
        </is>
      </c>
      <c r="B94" s="1" t="n">
        <v>43670</v>
      </c>
      <c r="C94" s="1" t="n">
        <v>45641</v>
      </c>
      <c r="D94" t="inlineStr">
        <is>
          <t>VÄSTRA GÖTALANDS LÄN</t>
        </is>
      </c>
      <c r="E94" t="inlineStr">
        <is>
          <t>BENGTSFORS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37035-2019</t>
        </is>
      </c>
      <c r="B95" s="1" t="n">
        <v>43676</v>
      </c>
      <c r="C95" s="1" t="n">
        <v>45641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37957-2019</t>
        </is>
      </c>
      <c r="B96" s="1" t="n">
        <v>43683</v>
      </c>
      <c r="C96" s="1" t="n">
        <v>45641</v>
      </c>
      <c r="D96" t="inlineStr">
        <is>
          <t>VÄSTRA GÖTALANDS LÄN</t>
        </is>
      </c>
      <c r="E96" t="inlineStr">
        <is>
          <t>BENGTSFORS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39289-2019</t>
        </is>
      </c>
      <c r="B97" s="1" t="n">
        <v>43690</v>
      </c>
      <c r="C97" s="1" t="n">
        <v>45641</v>
      </c>
      <c r="D97" t="inlineStr">
        <is>
          <t>VÄSTRA GÖTALANDS LÄN</t>
        </is>
      </c>
      <c r="E97" t="inlineStr">
        <is>
          <t>BENGTSFORS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39644-2019</t>
        </is>
      </c>
      <c r="B98" s="1" t="n">
        <v>43691</v>
      </c>
      <c r="C98" s="1" t="n">
        <v>45641</v>
      </c>
      <c r="D98" t="inlineStr">
        <is>
          <t>VÄSTRA GÖTALANDS LÄN</t>
        </is>
      </c>
      <c r="E98" t="inlineStr">
        <is>
          <t>BENGTSFORS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40043-2019</t>
        </is>
      </c>
      <c r="B99" s="1" t="n">
        <v>43693</v>
      </c>
      <c r="C99" s="1" t="n">
        <v>45641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40048-2019</t>
        </is>
      </c>
      <c r="B100" s="1" t="n">
        <v>43693</v>
      </c>
      <c r="C100" s="1" t="n">
        <v>45641</v>
      </c>
      <c r="D100" t="inlineStr">
        <is>
          <t>VÄSTRA GÖTALANDS LÄN</t>
        </is>
      </c>
      <c r="E100" t="inlineStr">
        <is>
          <t>BENGTSFORS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40243-2019</t>
        </is>
      </c>
      <c r="B101" s="1" t="n">
        <v>43694</v>
      </c>
      <c r="C101" s="1" t="n">
        <v>45641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40242-2019</t>
        </is>
      </c>
      <c r="B102" s="1" t="n">
        <v>43694</v>
      </c>
      <c r="C102" s="1" t="n">
        <v>45641</v>
      </c>
      <c r="D102" t="inlineStr">
        <is>
          <t>VÄSTRA GÖTALANDS LÄN</t>
        </is>
      </c>
      <c r="E102" t="inlineStr">
        <is>
          <t>BENGTSFORS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40654-2019</t>
        </is>
      </c>
      <c r="B103" s="1" t="n">
        <v>43696</v>
      </c>
      <c r="C103" s="1" t="n">
        <v>45641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40972-2019</t>
        </is>
      </c>
      <c r="B104" s="1" t="n">
        <v>43697</v>
      </c>
      <c r="C104" s="1" t="n">
        <v>45641</v>
      </c>
      <c r="D104" t="inlineStr">
        <is>
          <t>VÄSTRA GÖTALANDS LÄN</t>
        </is>
      </c>
      <c r="E104" t="inlineStr">
        <is>
          <t>BENGTSFORS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40974-2019</t>
        </is>
      </c>
      <c r="B105" s="1" t="n">
        <v>43697</v>
      </c>
      <c r="C105" s="1" t="n">
        <v>45641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41257-2019</t>
        </is>
      </c>
      <c r="B106" s="1" t="n">
        <v>43698</v>
      </c>
      <c r="C106" s="1" t="n">
        <v>45641</v>
      </c>
      <c r="D106" t="inlineStr">
        <is>
          <t>VÄSTRA GÖTALANDS LÄN</t>
        </is>
      </c>
      <c r="E106" t="inlineStr">
        <is>
          <t>BENGTSFORS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41256-2019</t>
        </is>
      </c>
      <c r="B107" s="1" t="n">
        <v>43698</v>
      </c>
      <c r="C107" s="1" t="n">
        <v>45641</v>
      </c>
      <c r="D107" t="inlineStr">
        <is>
          <t>VÄSTRA GÖTALANDS LÄN</t>
        </is>
      </c>
      <c r="E107" t="inlineStr">
        <is>
          <t>BENGTSFORS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41252-2019</t>
        </is>
      </c>
      <c r="B108" s="1" t="n">
        <v>43698</v>
      </c>
      <c r="C108" s="1" t="n">
        <v>45641</v>
      </c>
      <c r="D108" t="inlineStr">
        <is>
          <t>VÄSTRA GÖTALANDS LÄN</t>
        </is>
      </c>
      <c r="E108" t="inlineStr">
        <is>
          <t>BENGTSFORS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41255-2019</t>
        </is>
      </c>
      <c r="B109" s="1" t="n">
        <v>43698</v>
      </c>
      <c r="C109" s="1" t="n">
        <v>45641</v>
      </c>
      <c r="D109" t="inlineStr">
        <is>
          <t>VÄSTRA GÖTALANDS LÄN</t>
        </is>
      </c>
      <c r="E109" t="inlineStr">
        <is>
          <t>BENGTSFORS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41770-2019</t>
        </is>
      </c>
      <c r="B110" s="1" t="n">
        <v>43700</v>
      </c>
      <c r="C110" s="1" t="n">
        <v>45641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41607-2019</t>
        </is>
      </c>
      <c r="B111" s="1" t="n">
        <v>43699</v>
      </c>
      <c r="C111" s="1" t="n">
        <v>45641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42924-2019</t>
        </is>
      </c>
      <c r="B112" s="1" t="n">
        <v>43705</v>
      </c>
      <c r="C112" s="1" t="n">
        <v>45641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43633-2019</t>
        </is>
      </c>
      <c r="B113" s="1" t="n">
        <v>43707</v>
      </c>
      <c r="C113" s="1" t="n">
        <v>45641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45003-2019</t>
        </is>
      </c>
      <c r="B114" s="1" t="n">
        <v>43707</v>
      </c>
      <c r="C114" s="1" t="n">
        <v>45641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45008-2019</t>
        </is>
      </c>
      <c r="B115" s="1" t="n">
        <v>43707</v>
      </c>
      <c r="C115" s="1" t="n">
        <v>45641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43991-2019</t>
        </is>
      </c>
      <c r="B116" s="1" t="n">
        <v>43709</v>
      </c>
      <c r="C116" s="1" t="n">
        <v>45641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44223-2019</t>
        </is>
      </c>
      <c r="B117" s="1" t="n">
        <v>43710</v>
      </c>
      <c r="C117" s="1" t="n">
        <v>45641</v>
      </c>
      <c r="D117" t="inlineStr">
        <is>
          <t>VÄSTRA GÖTALANDS LÄN</t>
        </is>
      </c>
      <c r="E117" t="inlineStr">
        <is>
          <t>BENGTSFORS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45614-2019</t>
        </is>
      </c>
      <c r="B118" s="1" t="n">
        <v>43711</v>
      </c>
      <c r="C118" s="1" t="n">
        <v>45641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45958-2019</t>
        </is>
      </c>
      <c r="B119" s="1" t="n">
        <v>43712</v>
      </c>
      <c r="C119" s="1" t="n">
        <v>45641</v>
      </c>
      <c r="D119" t="inlineStr">
        <is>
          <t>VÄSTRA GÖTALANDS LÄN</t>
        </is>
      </c>
      <c r="E119" t="inlineStr">
        <is>
          <t>BENGTSFORS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45875-2019</t>
        </is>
      </c>
      <c r="B120" s="1" t="n">
        <v>43712</v>
      </c>
      <c r="C120" s="1" t="n">
        <v>45641</v>
      </c>
      <c r="D120" t="inlineStr">
        <is>
          <t>VÄSTRA GÖTALANDS LÄN</t>
        </is>
      </c>
      <c r="E120" t="inlineStr">
        <is>
          <t>BENGTSFORS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46049-2019</t>
        </is>
      </c>
      <c r="B121" s="1" t="n">
        <v>43713</v>
      </c>
      <c r="C121" s="1" t="n">
        <v>45641</v>
      </c>
      <c r="D121" t="inlineStr">
        <is>
          <t>VÄSTRA GÖTALANDS LÄN</t>
        </is>
      </c>
      <c r="E121" t="inlineStr">
        <is>
          <t>BENGTSFORS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45842-2019</t>
        </is>
      </c>
      <c r="B122" s="1" t="n">
        <v>43717</v>
      </c>
      <c r="C122" s="1" t="n">
        <v>45641</v>
      </c>
      <c r="D122" t="inlineStr">
        <is>
          <t>VÄSTRA GÖTALANDS LÄN</t>
        </is>
      </c>
      <c r="E122" t="inlineStr">
        <is>
          <t>BENGTSFORS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47728-2019</t>
        </is>
      </c>
      <c r="B123" s="1" t="n">
        <v>43724</v>
      </c>
      <c r="C123" s="1" t="n">
        <v>45641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47845-2019</t>
        </is>
      </c>
      <c r="B124" s="1" t="n">
        <v>43725</v>
      </c>
      <c r="C124" s="1" t="n">
        <v>45641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49068-2019</t>
        </is>
      </c>
      <c r="B125" s="1" t="n">
        <v>43731</v>
      </c>
      <c r="C125" s="1" t="n">
        <v>45641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50365-2019</t>
        </is>
      </c>
      <c r="B126" s="1" t="n">
        <v>43735</v>
      </c>
      <c r="C126" s="1" t="n">
        <v>45641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50741-2019</t>
        </is>
      </c>
      <c r="B127" s="1" t="n">
        <v>43738</v>
      </c>
      <c r="C127" s="1" t="n">
        <v>45641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51148-2019</t>
        </is>
      </c>
      <c r="B128" s="1" t="n">
        <v>43739</v>
      </c>
      <c r="C128" s="1" t="n">
        <v>45641</v>
      </c>
      <c r="D128" t="inlineStr">
        <is>
          <t>VÄSTRA GÖTALANDS LÄN</t>
        </is>
      </c>
      <c r="E128" t="inlineStr">
        <is>
          <t>BENGTSFORS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52112-2019</t>
        </is>
      </c>
      <c r="B129" s="1" t="n">
        <v>43742</v>
      </c>
      <c r="C129" s="1" t="n">
        <v>45641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56944-2019</t>
        </is>
      </c>
      <c r="B130" s="1" t="n">
        <v>43766</v>
      </c>
      <c r="C130" s="1" t="n">
        <v>45641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56997-2019</t>
        </is>
      </c>
      <c r="B131" s="1" t="n">
        <v>43766</v>
      </c>
      <c r="C131" s="1" t="n">
        <v>45641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57094-2019</t>
        </is>
      </c>
      <c r="B132" s="1" t="n">
        <v>43766</v>
      </c>
      <c r="C132" s="1" t="n">
        <v>45641</v>
      </c>
      <c r="D132" t="inlineStr">
        <is>
          <t>VÄSTRA GÖTALANDS LÄN</t>
        </is>
      </c>
      <c r="E132" t="inlineStr">
        <is>
          <t>BENGTSFORS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57436-2019</t>
        </is>
      </c>
      <c r="B133" s="1" t="n">
        <v>43767</v>
      </c>
      <c r="C133" s="1" t="n">
        <v>45641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57907-2019</t>
        </is>
      </c>
      <c r="B134" s="1" t="n">
        <v>43769</v>
      </c>
      <c r="C134" s="1" t="n">
        <v>45641</v>
      </c>
      <c r="D134" t="inlineStr">
        <is>
          <t>VÄSTRA GÖTALANDS LÄN</t>
        </is>
      </c>
      <c r="E134" t="inlineStr">
        <is>
          <t>BENGTSFORS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58142-2019</t>
        </is>
      </c>
      <c r="B135" s="1" t="n">
        <v>43769</v>
      </c>
      <c r="C135" s="1" t="n">
        <v>45641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58179-2019</t>
        </is>
      </c>
      <c r="B136" s="1" t="n">
        <v>43770</v>
      </c>
      <c r="C136" s="1" t="n">
        <v>45641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58972-2019</t>
        </is>
      </c>
      <c r="B137" s="1" t="n">
        <v>43774</v>
      </c>
      <c r="C137" s="1" t="n">
        <v>45641</v>
      </c>
      <c r="D137" t="inlineStr">
        <is>
          <t>VÄSTRA GÖTALANDS LÄN</t>
        </is>
      </c>
      <c r="E137" t="inlineStr">
        <is>
          <t>BENGTSFORS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58964-2019</t>
        </is>
      </c>
      <c r="B138" s="1" t="n">
        <v>43774</v>
      </c>
      <c r="C138" s="1" t="n">
        <v>45641</v>
      </c>
      <c r="D138" t="inlineStr">
        <is>
          <t>VÄSTRA GÖTALANDS LÄN</t>
        </is>
      </c>
      <c r="E138" t="inlineStr">
        <is>
          <t>BENGTSFORS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59215-2019</t>
        </is>
      </c>
      <c r="B139" s="1" t="n">
        <v>43775</v>
      </c>
      <c r="C139" s="1" t="n">
        <v>45641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59548-2019</t>
        </is>
      </c>
      <c r="B140" s="1" t="n">
        <v>43776</v>
      </c>
      <c r="C140" s="1" t="n">
        <v>45641</v>
      </c>
      <c r="D140" t="inlineStr">
        <is>
          <t>VÄSTRA GÖTALANDS LÄN</t>
        </is>
      </c>
      <c r="E140" t="inlineStr">
        <is>
          <t>BENGTSFORS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59952-2019</t>
        </is>
      </c>
      <c r="B141" s="1" t="n">
        <v>43777</v>
      </c>
      <c r="C141" s="1" t="n">
        <v>45641</v>
      </c>
      <c r="D141" t="inlineStr">
        <is>
          <t>VÄSTRA GÖTALANDS LÄN</t>
        </is>
      </c>
      <c r="E141" t="inlineStr">
        <is>
          <t>BENGTSFORS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60666-2019</t>
        </is>
      </c>
      <c r="B142" s="1" t="n">
        <v>43781</v>
      </c>
      <c r="C142" s="1" t="n">
        <v>45641</v>
      </c>
      <c r="D142" t="inlineStr">
        <is>
          <t>VÄSTRA GÖTALANDS LÄN</t>
        </is>
      </c>
      <c r="E142" t="inlineStr">
        <is>
          <t>BENGTSFORS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61233-2019</t>
        </is>
      </c>
      <c r="B143" s="1" t="n">
        <v>43783</v>
      </c>
      <c r="C143" s="1" t="n">
        <v>45641</v>
      </c>
      <c r="D143" t="inlineStr">
        <is>
          <t>VÄSTRA GÖTALANDS LÄN</t>
        </is>
      </c>
      <c r="E143" t="inlineStr">
        <is>
          <t>BENGTSFORS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61359-2019</t>
        </is>
      </c>
      <c r="B144" s="1" t="n">
        <v>43783</v>
      </c>
      <c r="C144" s="1" t="n">
        <v>45641</v>
      </c>
      <c r="D144" t="inlineStr">
        <is>
          <t>VÄSTRA GÖTALANDS LÄN</t>
        </is>
      </c>
      <c r="E144" t="inlineStr">
        <is>
          <t>BENGTSFORS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61741-2019</t>
        </is>
      </c>
      <c r="B145" s="1" t="n">
        <v>43784</v>
      </c>
      <c r="C145" s="1" t="n">
        <v>45641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62144-2019</t>
        </is>
      </c>
      <c r="B146" s="1" t="n">
        <v>43787</v>
      </c>
      <c r="C146" s="1" t="n">
        <v>45641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64665-2019</t>
        </is>
      </c>
      <c r="B147" s="1" t="n">
        <v>43794</v>
      </c>
      <c r="C147" s="1" t="n">
        <v>45641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63960-2019</t>
        </is>
      </c>
      <c r="B148" s="1" t="n">
        <v>43796</v>
      </c>
      <c r="C148" s="1" t="n">
        <v>45641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64230-2019</t>
        </is>
      </c>
      <c r="B149" s="1" t="n">
        <v>43797</v>
      </c>
      <c r="C149" s="1" t="n">
        <v>45641</v>
      </c>
      <c r="D149" t="inlineStr">
        <is>
          <t>VÄSTRA GÖTALANDS LÄN</t>
        </is>
      </c>
      <c r="E149" t="inlineStr">
        <is>
          <t>BENGTSFORS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64279-2019</t>
        </is>
      </c>
      <c r="B150" s="1" t="n">
        <v>43797</v>
      </c>
      <c r="C150" s="1" t="n">
        <v>45641</v>
      </c>
      <c r="D150" t="inlineStr">
        <is>
          <t>VÄSTRA GÖTALANDS LÄN</t>
        </is>
      </c>
      <c r="E150" t="inlineStr">
        <is>
          <t>BENGTSFORS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64228-2019</t>
        </is>
      </c>
      <c r="B151" s="1" t="n">
        <v>43797</v>
      </c>
      <c r="C151" s="1" t="n">
        <v>45641</v>
      </c>
      <c r="D151" t="inlineStr">
        <is>
          <t>VÄSTRA GÖTALANDS LÄN</t>
        </is>
      </c>
      <c r="E151" t="inlineStr">
        <is>
          <t>BENGTSFORS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64220-2019</t>
        </is>
      </c>
      <c r="B152" s="1" t="n">
        <v>43797</v>
      </c>
      <c r="C152" s="1" t="n">
        <v>45641</v>
      </c>
      <c r="D152" t="inlineStr">
        <is>
          <t>VÄSTRA GÖTALANDS LÄN</t>
        </is>
      </c>
      <c r="E152" t="inlineStr">
        <is>
          <t>BENGTSFORS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64274-2019</t>
        </is>
      </c>
      <c r="B153" s="1" t="n">
        <v>43797</v>
      </c>
      <c r="C153" s="1" t="n">
        <v>45641</v>
      </c>
      <c r="D153" t="inlineStr">
        <is>
          <t>VÄSTRA GÖTALANDS LÄN</t>
        </is>
      </c>
      <c r="E153" t="inlineStr">
        <is>
          <t>BENGTSFORS</t>
        </is>
      </c>
      <c r="G153" t="n">
        <v>30.5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65930-2019</t>
        </is>
      </c>
      <c r="B154" s="1" t="n">
        <v>43801</v>
      </c>
      <c r="C154" s="1" t="n">
        <v>45641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65361-2019</t>
        </is>
      </c>
      <c r="B155" s="1" t="n">
        <v>43803</v>
      </c>
      <c r="C155" s="1" t="n">
        <v>45641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65453-2019</t>
        </is>
      </c>
      <c r="B156" s="1" t="n">
        <v>43803</v>
      </c>
      <c r="C156" s="1" t="n">
        <v>45641</v>
      </c>
      <c r="D156" t="inlineStr">
        <is>
          <t>VÄSTRA GÖTALANDS LÄN</t>
        </is>
      </c>
      <c r="E156" t="inlineStr">
        <is>
          <t>BENGTSFORS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65525-2019</t>
        </is>
      </c>
      <c r="B157" s="1" t="n">
        <v>43803</v>
      </c>
      <c r="C157" s="1" t="n">
        <v>45641</v>
      </c>
      <c r="D157" t="inlineStr">
        <is>
          <t>VÄSTRA GÖTALANDS LÄN</t>
        </is>
      </c>
      <c r="E157" t="inlineStr">
        <is>
          <t>BENGTSFORS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65852-2019</t>
        </is>
      </c>
      <c r="B158" s="1" t="n">
        <v>43805</v>
      </c>
      <c r="C158" s="1" t="n">
        <v>45641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67648-2019</t>
        </is>
      </c>
      <c r="B159" s="1" t="n">
        <v>43809</v>
      </c>
      <c r="C159" s="1" t="n">
        <v>45641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66610-2019</t>
        </is>
      </c>
      <c r="B160" s="1" t="n">
        <v>43809</v>
      </c>
      <c r="C160" s="1" t="n">
        <v>45641</v>
      </c>
      <c r="D160" t="inlineStr">
        <is>
          <t>VÄSTRA GÖTALANDS LÄN</t>
        </is>
      </c>
      <c r="E160" t="inlineStr">
        <is>
          <t>BENGTSFORS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67129-2019</t>
        </is>
      </c>
      <c r="B161" s="1" t="n">
        <v>43811</v>
      </c>
      <c r="C161" s="1" t="n">
        <v>45641</v>
      </c>
      <c r="D161" t="inlineStr">
        <is>
          <t>VÄSTRA GÖTALANDS LÄN</t>
        </is>
      </c>
      <c r="E161" t="inlineStr">
        <is>
          <t>BENGTSFORS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67421-2019</t>
        </is>
      </c>
      <c r="B162" s="1" t="n">
        <v>43812</v>
      </c>
      <c r="C162" s="1" t="n">
        <v>45641</v>
      </c>
      <c r="D162" t="inlineStr">
        <is>
          <t>VÄSTRA GÖTALANDS LÄN</t>
        </is>
      </c>
      <c r="E162" t="inlineStr">
        <is>
          <t>BENGTSFORS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67685-2019</t>
        </is>
      </c>
      <c r="B163" s="1" t="n">
        <v>43815</v>
      </c>
      <c r="C163" s="1" t="n">
        <v>45641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67687-2019</t>
        </is>
      </c>
      <c r="B164" s="1" t="n">
        <v>43815</v>
      </c>
      <c r="C164" s="1" t="n">
        <v>45641</v>
      </c>
      <c r="D164" t="inlineStr">
        <is>
          <t>VÄSTRA GÖTALANDS LÄN</t>
        </is>
      </c>
      <c r="E164" t="inlineStr">
        <is>
          <t>BENGTSFORS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67610-2019</t>
        </is>
      </c>
      <c r="B165" s="1" t="n">
        <v>43815</v>
      </c>
      <c r="C165" s="1" t="n">
        <v>45641</v>
      </c>
      <c r="D165" t="inlineStr">
        <is>
          <t>VÄSTRA GÖTALANDS LÄN</t>
        </is>
      </c>
      <c r="E165" t="inlineStr">
        <is>
          <t>BENGTSFORS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68138-2019</t>
        </is>
      </c>
      <c r="B166" s="1" t="n">
        <v>43817</v>
      </c>
      <c r="C166" s="1" t="n">
        <v>45641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68140-2019</t>
        </is>
      </c>
      <c r="B167" s="1" t="n">
        <v>43817</v>
      </c>
      <c r="C167" s="1" t="n">
        <v>45641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68437-2019</t>
        </is>
      </c>
      <c r="B168" s="1" t="n">
        <v>43818</v>
      </c>
      <c r="C168" s="1" t="n">
        <v>45641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68697-2019</t>
        </is>
      </c>
      <c r="B169" s="1" t="n">
        <v>43819</v>
      </c>
      <c r="C169" s="1" t="n">
        <v>45641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506-2020</t>
        </is>
      </c>
      <c r="B170" s="1" t="n">
        <v>43837</v>
      </c>
      <c r="C170" s="1" t="n">
        <v>45641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669-2020</t>
        </is>
      </c>
      <c r="B171" s="1" t="n">
        <v>43838</v>
      </c>
      <c r="C171" s="1" t="n">
        <v>45641</v>
      </c>
      <c r="D171" t="inlineStr">
        <is>
          <t>VÄSTRA GÖTALANDS LÄN</t>
        </is>
      </c>
      <c r="E171" t="inlineStr">
        <is>
          <t>BENGTSFORS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894-2020</t>
        </is>
      </c>
      <c r="B172" s="1" t="n">
        <v>43839</v>
      </c>
      <c r="C172" s="1" t="n">
        <v>45641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2312-2020</t>
        </is>
      </c>
      <c r="B173" s="1" t="n">
        <v>43846</v>
      </c>
      <c r="C173" s="1" t="n">
        <v>45641</v>
      </c>
      <c r="D173" t="inlineStr">
        <is>
          <t>VÄSTRA GÖTALANDS LÄN</t>
        </is>
      </c>
      <c r="E173" t="inlineStr">
        <is>
          <t>BENGTSFORS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2545-2020</t>
        </is>
      </c>
      <c r="B174" s="1" t="n">
        <v>43847</v>
      </c>
      <c r="C174" s="1" t="n">
        <v>45641</v>
      </c>
      <c r="D174" t="inlineStr">
        <is>
          <t>VÄSTRA GÖTALANDS LÄN</t>
        </is>
      </c>
      <c r="E174" t="inlineStr">
        <is>
          <t>BENGTSFORS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2882-2020</t>
        </is>
      </c>
      <c r="B175" s="1" t="n">
        <v>43850</v>
      </c>
      <c r="C175" s="1" t="n">
        <v>45641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5205-2020</t>
        </is>
      </c>
      <c r="B176" s="1" t="n">
        <v>43854</v>
      </c>
      <c r="C176" s="1" t="n">
        <v>45641</v>
      </c>
      <c r="D176" t="inlineStr">
        <is>
          <t>VÄSTRA GÖTALANDS LÄN</t>
        </is>
      </c>
      <c r="E176" t="inlineStr">
        <is>
          <t>BENGTSFORS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3944-2020</t>
        </is>
      </c>
      <c r="B177" s="1" t="n">
        <v>43854</v>
      </c>
      <c r="C177" s="1" t="n">
        <v>45641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4445-2020</t>
        </is>
      </c>
      <c r="B178" s="1" t="n">
        <v>43858</v>
      </c>
      <c r="C178" s="1" t="n">
        <v>45641</v>
      </c>
      <c r="D178" t="inlineStr">
        <is>
          <t>VÄSTRA GÖTALANDS LÄN</t>
        </is>
      </c>
      <c r="E178" t="inlineStr">
        <is>
          <t>BENGTSFORS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4915-2020</t>
        </is>
      </c>
      <c r="B179" s="1" t="n">
        <v>43859</v>
      </c>
      <c r="C179" s="1" t="n">
        <v>45641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5843-2020</t>
        </is>
      </c>
      <c r="B180" s="1" t="n">
        <v>43864</v>
      </c>
      <c r="C180" s="1" t="n">
        <v>45641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5835-2020</t>
        </is>
      </c>
      <c r="B181" s="1" t="n">
        <v>43864</v>
      </c>
      <c r="C181" s="1" t="n">
        <v>45641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5991-2020</t>
        </is>
      </c>
      <c r="B182" s="1" t="n">
        <v>43864</v>
      </c>
      <c r="C182" s="1" t="n">
        <v>45641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6109-2020</t>
        </is>
      </c>
      <c r="B183" s="1" t="n">
        <v>43864</v>
      </c>
      <c r="C183" s="1" t="n">
        <v>45641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6108-2020</t>
        </is>
      </c>
      <c r="B184" s="1" t="n">
        <v>43865</v>
      </c>
      <c r="C184" s="1" t="n">
        <v>45641</v>
      </c>
      <c r="D184" t="inlineStr">
        <is>
          <t>VÄSTRA GÖTALANDS LÄN</t>
        </is>
      </c>
      <c r="E184" t="inlineStr">
        <is>
          <t>BENGTSFORS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7083-2020</t>
        </is>
      </c>
      <c r="B185" s="1" t="n">
        <v>43868</v>
      </c>
      <c r="C185" s="1" t="n">
        <v>45641</v>
      </c>
      <c r="D185" t="inlineStr">
        <is>
          <t>VÄSTRA GÖTALANDS LÄN</t>
        </is>
      </c>
      <c r="E185" t="inlineStr">
        <is>
          <t>BENGTSFORS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7089-2020</t>
        </is>
      </c>
      <c r="B186" s="1" t="n">
        <v>43868</v>
      </c>
      <c r="C186" s="1" t="n">
        <v>45641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7684-2020</t>
        </is>
      </c>
      <c r="B187" s="1" t="n">
        <v>43872</v>
      </c>
      <c r="C187" s="1" t="n">
        <v>45641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7853-2020</t>
        </is>
      </c>
      <c r="B188" s="1" t="n">
        <v>43873</v>
      </c>
      <c r="C188" s="1" t="n">
        <v>45641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8162-2020</t>
        </is>
      </c>
      <c r="B189" s="1" t="n">
        <v>43873</v>
      </c>
      <c r="C189" s="1" t="n">
        <v>45641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8168-2020</t>
        </is>
      </c>
      <c r="B190" s="1" t="n">
        <v>43874</v>
      </c>
      <c r="C190" s="1" t="n">
        <v>45641</v>
      </c>
      <c r="D190" t="inlineStr">
        <is>
          <t>VÄSTRA GÖTALANDS LÄN</t>
        </is>
      </c>
      <c r="E190" t="inlineStr">
        <is>
          <t>BENGTSFORS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8177-2020</t>
        </is>
      </c>
      <c r="B191" s="1" t="n">
        <v>43874</v>
      </c>
      <c r="C191" s="1" t="n">
        <v>45641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9490-2020</t>
        </is>
      </c>
      <c r="B192" s="1" t="n">
        <v>43880</v>
      </c>
      <c r="C192" s="1" t="n">
        <v>45641</v>
      </c>
      <c r="D192" t="inlineStr">
        <is>
          <t>VÄSTRA GÖTALANDS LÄN</t>
        </is>
      </c>
      <c r="E192" t="inlineStr">
        <is>
          <t>BENGTSFORS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9864-2020</t>
        </is>
      </c>
      <c r="B193" s="1" t="n">
        <v>43882</v>
      </c>
      <c r="C193" s="1" t="n">
        <v>45641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10381-2020</t>
        </is>
      </c>
      <c r="B194" s="1" t="n">
        <v>43885</v>
      </c>
      <c r="C194" s="1" t="n">
        <v>45641</v>
      </c>
      <c r="D194" t="inlineStr">
        <is>
          <t>VÄSTRA GÖTALANDS LÄN</t>
        </is>
      </c>
      <c r="E194" t="inlineStr">
        <is>
          <t>BENGTSFORS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11230-2020</t>
        </is>
      </c>
      <c r="B195" s="1" t="n">
        <v>43892</v>
      </c>
      <c r="C195" s="1" t="n">
        <v>45641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11208-2020</t>
        </is>
      </c>
      <c r="B196" s="1" t="n">
        <v>43892</v>
      </c>
      <c r="C196" s="1" t="n">
        <v>45641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11227-2020</t>
        </is>
      </c>
      <c r="B197" s="1" t="n">
        <v>43892</v>
      </c>
      <c r="C197" s="1" t="n">
        <v>45641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11713-2020</t>
        </is>
      </c>
      <c r="B198" s="1" t="n">
        <v>43894</v>
      </c>
      <c r="C198" s="1" t="n">
        <v>45641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12010-2020</t>
        </is>
      </c>
      <c r="B199" s="1" t="n">
        <v>43894</v>
      </c>
      <c r="C199" s="1" t="n">
        <v>45641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12857-2020</t>
        </is>
      </c>
      <c r="B200" s="1" t="n">
        <v>43899</v>
      </c>
      <c r="C200" s="1" t="n">
        <v>45641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12835-2020</t>
        </is>
      </c>
      <c r="B201" s="1" t="n">
        <v>43899</v>
      </c>
      <c r="C201" s="1" t="n">
        <v>45641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12859-2020</t>
        </is>
      </c>
      <c r="B202" s="1" t="n">
        <v>43899</v>
      </c>
      <c r="C202" s="1" t="n">
        <v>45641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14166-2020</t>
        </is>
      </c>
      <c r="B203" s="1" t="n">
        <v>43899</v>
      </c>
      <c r="C203" s="1" t="n">
        <v>45641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13000-2020</t>
        </is>
      </c>
      <c r="B204" s="1" t="n">
        <v>43900</v>
      </c>
      <c r="C204" s="1" t="n">
        <v>45641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13055-2020</t>
        </is>
      </c>
      <c r="B205" s="1" t="n">
        <v>43900</v>
      </c>
      <c r="C205" s="1" t="n">
        <v>45641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12993-2020</t>
        </is>
      </c>
      <c r="B206" s="1" t="n">
        <v>43900</v>
      </c>
      <c r="C206" s="1" t="n">
        <v>45641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13289-2020</t>
        </is>
      </c>
      <c r="B207" s="1" t="n">
        <v>43901</v>
      </c>
      <c r="C207" s="1" t="n">
        <v>45641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14748-2020</t>
        </is>
      </c>
      <c r="B208" s="1" t="n">
        <v>43902</v>
      </c>
      <c r="C208" s="1" t="n">
        <v>45641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13589-2020</t>
        </is>
      </c>
      <c r="B209" s="1" t="n">
        <v>43903</v>
      </c>
      <c r="C209" s="1" t="n">
        <v>45641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Övriga Aktiebolag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14159-2020</t>
        </is>
      </c>
      <c r="B210" s="1" t="n">
        <v>43907</v>
      </c>
      <c r="C210" s="1" t="n">
        <v>45641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14448-2020</t>
        </is>
      </c>
      <c r="B211" s="1" t="n">
        <v>43908</v>
      </c>
      <c r="C211" s="1" t="n">
        <v>45641</v>
      </c>
      <c r="D211" t="inlineStr">
        <is>
          <t>VÄSTRA GÖTALANDS LÄN</t>
        </is>
      </c>
      <c r="E211" t="inlineStr">
        <is>
          <t>BENGTSFORS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14641-2020</t>
        </is>
      </c>
      <c r="B212" s="1" t="n">
        <v>43909</v>
      </c>
      <c r="C212" s="1" t="n">
        <v>45641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15083-2020</t>
        </is>
      </c>
      <c r="B213" s="1" t="n">
        <v>43910</v>
      </c>
      <c r="C213" s="1" t="n">
        <v>45641</v>
      </c>
      <c r="D213" t="inlineStr">
        <is>
          <t>VÄSTRA GÖTALANDS LÄN</t>
        </is>
      </c>
      <c r="E213" t="inlineStr">
        <is>
          <t>BENGTSFORS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15387-2020</t>
        </is>
      </c>
      <c r="B214" s="1" t="n">
        <v>43913</v>
      </c>
      <c r="C214" s="1" t="n">
        <v>45641</v>
      </c>
      <c r="D214" t="inlineStr">
        <is>
          <t>VÄSTRA GÖTALANDS LÄN</t>
        </is>
      </c>
      <c r="E214" t="inlineStr">
        <is>
          <t>BENGTSFORS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17209-2020</t>
        </is>
      </c>
      <c r="B215" s="1" t="n">
        <v>43913</v>
      </c>
      <c r="C215" s="1" t="n">
        <v>45641</v>
      </c>
      <c r="D215" t="inlineStr">
        <is>
          <t>VÄSTRA GÖTALANDS LÄN</t>
        </is>
      </c>
      <c r="E215" t="inlineStr">
        <is>
          <t>BENGTSFORS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15386-2020</t>
        </is>
      </c>
      <c r="B216" s="1" t="n">
        <v>43913</v>
      </c>
      <c r="C216" s="1" t="n">
        <v>45641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15522-2020</t>
        </is>
      </c>
      <c r="B217" s="1" t="n">
        <v>43914</v>
      </c>
      <c r="C217" s="1" t="n">
        <v>45641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15758-2020</t>
        </is>
      </c>
      <c r="B218" s="1" t="n">
        <v>43915</v>
      </c>
      <c r="C218" s="1" t="n">
        <v>45641</v>
      </c>
      <c r="D218" t="inlineStr">
        <is>
          <t>VÄSTRA GÖTALANDS LÄN</t>
        </is>
      </c>
      <c r="E218" t="inlineStr">
        <is>
          <t>BENGTSFORS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17054-2020</t>
        </is>
      </c>
      <c r="B219" s="1" t="n">
        <v>43921</v>
      </c>
      <c r="C219" s="1" t="n">
        <v>45641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17059-2020</t>
        </is>
      </c>
      <c r="B220" s="1" t="n">
        <v>43921</v>
      </c>
      <c r="C220" s="1" t="n">
        <v>45641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17748-2020</t>
        </is>
      </c>
      <c r="B221" s="1" t="n">
        <v>43924</v>
      </c>
      <c r="C221" s="1" t="n">
        <v>45641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18521-2020</t>
        </is>
      </c>
      <c r="B222" s="1" t="n">
        <v>43927</v>
      </c>
      <c r="C222" s="1" t="n">
        <v>45641</v>
      </c>
      <c r="D222" t="inlineStr">
        <is>
          <t>VÄSTRA GÖTALANDS LÄN</t>
        </is>
      </c>
      <c r="E222" t="inlineStr">
        <is>
          <t>BENGTSFORS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18407-2020</t>
        </is>
      </c>
      <c r="B223" s="1" t="n">
        <v>43928</v>
      </c>
      <c r="C223" s="1" t="n">
        <v>45641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18738-2020</t>
        </is>
      </c>
      <c r="B224" s="1" t="n">
        <v>43930</v>
      </c>
      <c r="C224" s="1" t="n">
        <v>45641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19030-2020</t>
        </is>
      </c>
      <c r="B225" s="1" t="n">
        <v>43936</v>
      </c>
      <c r="C225" s="1" t="n">
        <v>45641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19424-2020</t>
        </is>
      </c>
      <c r="B226" s="1" t="n">
        <v>43938</v>
      </c>
      <c r="C226" s="1" t="n">
        <v>45641</v>
      </c>
      <c r="D226" t="inlineStr">
        <is>
          <t>VÄSTRA GÖTALANDS LÄN</t>
        </is>
      </c>
      <c r="E226" t="inlineStr">
        <is>
          <t>BENGTSFORS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19429-2020</t>
        </is>
      </c>
      <c r="B227" s="1" t="n">
        <v>43938</v>
      </c>
      <c r="C227" s="1" t="n">
        <v>45641</v>
      </c>
      <c r="D227" t="inlineStr">
        <is>
          <t>VÄSTRA GÖTALANDS LÄN</t>
        </is>
      </c>
      <c r="E227" t="inlineStr">
        <is>
          <t>BENGTSFORS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20178-2020</t>
        </is>
      </c>
      <c r="B228" s="1" t="n">
        <v>43944</v>
      </c>
      <c r="C228" s="1" t="n">
        <v>45641</v>
      </c>
      <c r="D228" t="inlineStr">
        <is>
          <t>VÄSTRA GÖTALANDS LÄN</t>
        </is>
      </c>
      <c r="E228" t="inlineStr">
        <is>
          <t>BENGTSFORS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20857-2020</t>
        </is>
      </c>
      <c r="B229" s="1" t="n">
        <v>43944</v>
      </c>
      <c r="C229" s="1" t="n">
        <v>45641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20803-2020</t>
        </is>
      </c>
      <c r="B230" s="1" t="n">
        <v>43949</v>
      </c>
      <c r="C230" s="1" t="n">
        <v>45641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20856-2020</t>
        </is>
      </c>
      <c r="B231" s="1" t="n">
        <v>43949</v>
      </c>
      <c r="C231" s="1" t="n">
        <v>45641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21118-2020</t>
        </is>
      </c>
      <c r="B232" s="1" t="n">
        <v>43949</v>
      </c>
      <c r="C232" s="1" t="n">
        <v>45641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22614-2020</t>
        </is>
      </c>
      <c r="B233" s="1" t="n">
        <v>43959</v>
      </c>
      <c r="C233" s="1" t="n">
        <v>45641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23882-2020</t>
        </is>
      </c>
      <c r="B234" s="1" t="n">
        <v>43970</v>
      </c>
      <c r="C234" s="1" t="n">
        <v>45641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28716-2020</t>
        </is>
      </c>
      <c r="B235" s="1" t="n">
        <v>43999</v>
      </c>
      <c r="C235" s="1" t="n">
        <v>45641</v>
      </c>
      <c r="D235" t="inlineStr">
        <is>
          <t>VÄSTRA GÖTALANDS LÄN</t>
        </is>
      </c>
      <c r="E235" t="inlineStr">
        <is>
          <t>BENGTSFORS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29185-2020</t>
        </is>
      </c>
      <c r="B236" s="1" t="n">
        <v>43999</v>
      </c>
      <c r="C236" s="1" t="n">
        <v>45641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29165-2020</t>
        </is>
      </c>
      <c r="B237" s="1" t="n">
        <v>43999</v>
      </c>
      <c r="C237" s="1" t="n">
        <v>45641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29279-2020</t>
        </is>
      </c>
      <c r="B238" s="1" t="n">
        <v>44004</v>
      </c>
      <c r="C238" s="1" t="n">
        <v>45641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29673-2020</t>
        </is>
      </c>
      <c r="B239" s="1" t="n">
        <v>44004</v>
      </c>
      <c r="C239" s="1" t="n">
        <v>45641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29860-2020</t>
        </is>
      </c>
      <c r="B240" s="1" t="n">
        <v>44006</v>
      </c>
      <c r="C240" s="1" t="n">
        <v>45641</v>
      </c>
      <c r="D240" t="inlineStr">
        <is>
          <t>VÄSTRA GÖTALANDS LÄN</t>
        </is>
      </c>
      <c r="E240" t="inlineStr">
        <is>
          <t>BENGTSFORS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30233-2020</t>
        </is>
      </c>
      <c r="B241" s="1" t="n">
        <v>44007</v>
      </c>
      <c r="C241" s="1" t="n">
        <v>45641</v>
      </c>
      <c r="D241" t="inlineStr">
        <is>
          <t>VÄSTRA GÖTALANDS LÄN</t>
        </is>
      </c>
      <c r="E241" t="inlineStr">
        <is>
          <t>BENGTSFORS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30274-2020</t>
        </is>
      </c>
      <c r="B242" s="1" t="n">
        <v>44007</v>
      </c>
      <c r="C242" s="1" t="n">
        <v>45641</v>
      </c>
      <c r="D242" t="inlineStr">
        <is>
          <t>VÄSTRA GÖTALANDS LÄN</t>
        </is>
      </c>
      <c r="E242" t="inlineStr">
        <is>
          <t>BENGTSFORS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31191-2020</t>
        </is>
      </c>
      <c r="B243" s="1" t="n">
        <v>44012</v>
      </c>
      <c r="C243" s="1" t="n">
        <v>45641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32191-2020</t>
        </is>
      </c>
      <c r="B244" s="1" t="n">
        <v>44015</v>
      </c>
      <c r="C244" s="1" t="n">
        <v>45641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32706-2020</t>
        </is>
      </c>
      <c r="B245" s="1" t="n">
        <v>44018</v>
      </c>
      <c r="C245" s="1" t="n">
        <v>45641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34301-2020</t>
        </is>
      </c>
      <c r="B246" s="1" t="n">
        <v>44031</v>
      </c>
      <c r="C246" s="1" t="n">
        <v>45641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34642-2020</t>
        </is>
      </c>
      <c r="B247" s="1" t="n">
        <v>44034</v>
      </c>
      <c r="C247" s="1" t="n">
        <v>45641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35099-2020</t>
        </is>
      </c>
      <c r="B248" s="1" t="n">
        <v>44040</v>
      </c>
      <c r="C248" s="1" t="n">
        <v>45641</v>
      </c>
      <c r="D248" t="inlineStr">
        <is>
          <t>VÄSTRA GÖTALANDS LÄN</t>
        </is>
      </c>
      <c r="E248" t="inlineStr">
        <is>
          <t>BENGTSFORS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35313-2020</t>
        </is>
      </c>
      <c r="B249" s="1" t="n">
        <v>44041</v>
      </c>
      <c r="C249" s="1" t="n">
        <v>45641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36764-2020</t>
        </is>
      </c>
      <c r="B250" s="1" t="n">
        <v>44053</v>
      </c>
      <c r="C250" s="1" t="n">
        <v>45641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36952-2020</t>
        </is>
      </c>
      <c r="B251" s="1" t="n">
        <v>44053</v>
      </c>
      <c r="C251" s="1" t="n">
        <v>45641</v>
      </c>
      <c r="D251" t="inlineStr">
        <is>
          <t>VÄSTRA GÖTALANDS LÄN</t>
        </is>
      </c>
      <c r="E251" t="inlineStr">
        <is>
          <t>BENGTSFORS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37279-2020</t>
        </is>
      </c>
      <c r="B252" s="1" t="n">
        <v>44054</v>
      </c>
      <c r="C252" s="1" t="n">
        <v>45641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37418-2020</t>
        </is>
      </c>
      <c r="B253" s="1" t="n">
        <v>44055</v>
      </c>
      <c r="C253" s="1" t="n">
        <v>45641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37431-2020</t>
        </is>
      </c>
      <c r="B254" s="1" t="n">
        <v>44055</v>
      </c>
      <c r="C254" s="1" t="n">
        <v>45641</v>
      </c>
      <c r="D254" t="inlineStr">
        <is>
          <t>VÄSTRA GÖTALANDS LÄN</t>
        </is>
      </c>
      <c r="E254" t="inlineStr">
        <is>
          <t>BENGTSFORS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37575-2020</t>
        </is>
      </c>
      <c r="B255" s="1" t="n">
        <v>44056</v>
      </c>
      <c r="C255" s="1" t="n">
        <v>45641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38834-2020</t>
        </is>
      </c>
      <c r="B256" s="1" t="n">
        <v>44062</v>
      </c>
      <c r="C256" s="1" t="n">
        <v>45641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40551-2020</t>
        </is>
      </c>
      <c r="B257" s="1" t="n">
        <v>44069</v>
      </c>
      <c r="C257" s="1" t="n">
        <v>45641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41329-2020</t>
        </is>
      </c>
      <c r="B258" s="1" t="n">
        <v>44071</v>
      </c>
      <c r="C258" s="1" t="n">
        <v>45641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41627-2020</t>
        </is>
      </c>
      <c r="B259" s="1" t="n">
        <v>44074</v>
      </c>
      <c r="C259" s="1" t="n">
        <v>45641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42416-2020</t>
        </is>
      </c>
      <c r="B260" s="1" t="n">
        <v>44076</v>
      </c>
      <c r="C260" s="1" t="n">
        <v>45641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42424-2020</t>
        </is>
      </c>
      <c r="B261" s="1" t="n">
        <v>44076</v>
      </c>
      <c r="C261" s="1" t="n">
        <v>45641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42419-2020</t>
        </is>
      </c>
      <c r="B262" s="1" t="n">
        <v>44076</v>
      </c>
      <c r="C262" s="1" t="n">
        <v>45641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42573-2020</t>
        </is>
      </c>
      <c r="B263" s="1" t="n">
        <v>44077</v>
      </c>
      <c r="C263" s="1" t="n">
        <v>45641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44344-2020</t>
        </is>
      </c>
      <c r="B264" s="1" t="n">
        <v>44084</v>
      </c>
      <c r="C264" s="1" t="n">
        <v>45641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46186-2020</t>
        </is>
      </c>
      <c r="B265" s="1" t="n">
        <v>44092</v>
      </c>
      <c r="C265" s="1" t="n">
        <v>45641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46831-2020</t>
        </is>
      </c>
      <c r="B266" s="1" t="n">
        <v>44096</v>
      </c>
      <c r="C266" s="1" t="n">
        <v>45641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47995-2020</t>
        </is>
      </c>
      <c r="B267" s="1" t="n">
        <v>44099</v>
      </c>
      <c r="C267" s="1" t="n">
        <v>45641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48008-2020</t>
        </is>
      </c>
      <c r="B268" s="1" t="n">
        <v>44099</v>
      </c>
      <c r="C268" s="1" t="n">
        <v>45641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49295-2020</t>
        </is>
      </c>
      <c r="B269" s="1" t="n">
        <v>44105</v>
      </c>
      <c r="C269" s="1" t="n">
        <v>45641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52439-2020</t>
        </is>
      </c>
      <c r="B270" s="1" t="n">
        <v>44112</v>
      </c>
      <c r="C270" s="1" t="n">
        <v>45641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52436-2020</t>
        </is>
      </c>
      <c r="B271" s="1" t="n">
        <v>44112</v>
      </c>
      <c r="C271" s="1" t="n">
        <v>45641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52911-2020</t>
        </is>
      </c>
      <c r="B272" s="1" t="n">
        <v>44119</v>
      </c>
      <c r="C272" s="1" t="n">
        <v>45641</v>
      </c>
      <c r="D272" t="inlineStr">
        <is>
          <t>VÄSTRA GÖTALANDS LÄN</t>
        </is>
      </c>
      <c r="E272" t="inlineStr">
        <is>
          <t>BENGTSFORS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55741-2020</t>
        </is>
      </c>
      <c r="B273" s="1" t="n">
        <v>44132</v>
      </c>
      <c r="C273" s="1" t="n">
        <v>45641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55909-2020</t>
        </is>
      </c>
      <c r="B274" s="1" t="n">
        <v>44132</v>
      </c>
      <c r="C274" s="1" t="n">
        <v>45641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56282-2020</t>
        </is>
      </c>
      <c r="B275" s="1" t="n">
        <v>44134</v>
      </c>
      <c r="C275" s="1" t="n">
        <v>45641</v>
      </c>
      <c r="D275" t="inlineStr">
        <is>
          <t>VÄSTRA GÖTALANDS LÄN</t>
        </is>
      </c>
      <c r="E275" t="inlineStr">
        <is>
          <t>BENGTSFORS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56318-2020</t>
        </is>
      </c>
      <c r="B276" s="1" t="n">
        <v>44134</v>
      </c>
      <c r="C276" s="1" t="n">
        <v>45641</v>
      </c>
      <c r="D276" t="inlineStr">
        <is>
          <t>VÄSTRA GÖTALANDS LÄN</t>
        </is>
      </c>
      <c r="E276" t="inlineStr">
        <is>
          <t>BENGTSFORS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58166-2020</t>
        </is>
      </c>
      <c r="B277" s="1" t="n">
        <v>44144</v>
      </c>
      <c r="C277" s="1" t="n">
        <v>45641</v>
      </c>
      <c r="D277" t="inlineStr">
        <is>
          <t>VÄSTRA GÖTALANDS LÄN</t>
        </is>
      </c>
      <c r="E277" t="inlineStr">
        <is>
          <t>BENGTSFORS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59071-2020</t>
        </is>
      </c>
      <c r="B278" s="1" t="n">
        <v>44147</v>
      </c>
      <c r="C278" s="1" t="n">
        <v>45641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59138-2020</t>
        </is>
      </c>
      <c r="B279" s="1" t="n">
        <v>44147</v>
      </c>
      <c r="C279" s="1" t="n">
        <v>45641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59205-2020</t>
        </is>
      </c>
      <c r="B280" s="1" t="n">
        <v>44147</v>
      </c>
      <c r="C280" s="1" t="n">
        <v>45641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60123-2020</t>
        </is>
      </c>
      <c r="B281" s="1" t="n">
        <v>44152</v>
      </c>
      <c r="C281" s="1" t="n">
        <v>45641</v>
      </c>
      <c r="D281" t="inlineStr">
        <is>
          <t>VÄSTRA GÖTALANDS LÄN</t>
        </is>
      </c>
      <c r="E281" t="inlineStr">
        <is>
          <t>BENGTSFORS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60208-2020</t>
        </is>
      </c>
      <c r="B282" s="1" t="n">
        <v>44152</v>
      </c>
      <c r="C282" s="1" t="n">
        <v>45641</v>
      </c>
      <c r="D282" t="inlineStr">
        <is>
          <t>VÄSTRA GÖTALANDS LÄN</t>
        </is>
      </c>
      <c r="E282" t="inlineStr">
        <is>
          <t>BENGTSFORS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61017-2020</t>
        </is>
      </c>
      <c r="B283" s="1" t="n">
        <v>44154</v>
      </c>
      <c r="C283" s="1" t="n">
        <v>45641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61877-2020</t>
        </is>
      </c>
      <c r="B284" s="1" t="n">
        <v>44155</v>
      </c>
      <c r="C284" s="1" t="n">
        <v>45641</v>
      </c>
      <c r="D284" t="inlineStr">
        <is>
          <t>VÄSTRA GÖTALANDS LÄN</t>
        </is>
      </c>
      <c r="E284" t="inlineStr">
        <is>
          <t>BENGTSFORS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62851-2020</t>
        </is>
      </c>
      <c r="B285" s="1" t="n">
        <v>44161</v>
      </c>
      <c r="C285" s="1" t="n">
        <v>45641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63569-2020</t>
        </is>
      </c>
      <c r="B286" s="1" t="n">
        <v>44165</v>
      </c>
      <c r="C286" s="1" t="n">
        <v>45641</v>
      </c>
      <c r="D286" t="inlineStr">
        <is>
          <t>VÄSTRA GÖTALANDS LÄN</t>
        </is>
      </c>
      <c r="E286" t="inlineStr">
        <is>
          <t>BENGTSFORS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63959-2020</t>
        </is>
      </c>
      <c r="B287" s="1" t="n">
        <v>44165</v>
      </c>
      <c r="C287" s="1" t="n">
        <v>45641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65036-2020</t>
        </is>
      </c>
      <c r="B288" s="1" t="n">
        <v>44167</v>
      </c>
      <c r="C288" s="1" t="n">
        <v>45641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64890-2020</t>
        </is>
      </c>
      <c r="B289" s="1" t="n">
        <v>44171</v>
      </c>
      <c r="C289" s="1" t="n">
        <v>45641</v>
      </c>
      <c r="D289" t="inlineStr">
        <is>
          <t>VÄSTRA GÖTALANDS LÄN</t>
        </is>
      </c>
      <c r="E289" t="inlineStr">
        <is>
          <t>BENGTSFORS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65018-2020</t>
        </is>
      </c>
      <c r="B290" s="1" t="n">
        <v>44172</v>
      </c>
      <c r="C290" s="1" t="n">
        <v>45641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66078-2020</t>
        </is>
      </c>
      <c r="B291" s="1" t="n">
        <v>44173</v>
      </c>
      <c r="C291" s="1" t="n">
        <v>45641</v>
      </c>
      <c r="D291" t="inlineStr">
        <is>
          <t>VÄSTRA GÖTALANDS LÄN</t>
        </is>
      </c>
      <c r="E291" t="inlineStr">
        <is>
          <t>BENGTSFORS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65747-2020</t>
        </is>
      </c>
      <c r="B292" s="1" t="n">
        <v>44174</v>
      </c>
      <c r="C292" s="1" t="n">
        <v>45641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66364-2020</t>
        </is>
      </c>
      <c r="B293" s="1" t="n">
        <v>44176</v>
      </c>
      <c r="C293" s="1" t="n">
        <v>45641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66569-2020</t>
        </is>
      </c>
      <c r="B294" s="1" t="n">
        <v>44179</v>
      </c>
      <c r="C294" s="1" t="n">
        <v>45641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66929-2020</t>
        </is>
      </c>
      <c r="B295" s="1" t="n">
        <v>44180</v>
      </c>
      <c r="C295" s="1" t="n">
        <v>45641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68278-2020</t>
        </is>
      </c>
      <c r="B296" s="1" t="n">
        <v>44183</v>
      </c>
      <c r="C296" s="1" t="n">
        <v>45641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1045-2021</t>
        </is>
      </c>
      <c r="B297" s="1" t="n">
        <v>44207</v>
      </c>
      <c r="C297" s="1" t="n">
        <v>45641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1039-2021</t>
        </is>
      </c>
      <c r="B298" s="1" t="n">
        <v>44207</v>
      </c>
      <c r="C298" s="1" t="n">
        <v>45641</v>
      </c>
      <c r="D298" t="inlineStr">
        <is>
          <t>VÄSTRA GÖTALANDS LÄN</t>
        </is>
      </c>
      <c r="E298" t="inlineStr">
        <is>
          <t>BENGTSFORS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1498-2021</t>
        </is>
      </c>
      <c r="B299" s="1" t="n">
        <v>44209</v>
      </c>
      <c r="C299" s="1" t="n">
        <v>45641</v>
      </c>
      <c r="D299" t="inlineStr">
        <is>
          <t>VÄSTRA GÖTALANDS LÄN</t>
        </is>
      </c>
      <c r="E299" t="inlineStr">
        <is>
          <t>BENGTSFORS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1686-2021</t>
        </is>
      </c>
      <c r="B300" s="1" t="n">
        <v>44209</v>
      </c>
      <c r="C300" s="1" t="n">
        <v>45641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2723-2021</t>
        </is>
      </c>
      <c r="B301" s="1" t="n">
        <v>44215</v>
      </c>
      <c r="C301" s="1" t="n">
        <v>45641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4105-2021</t>
        </is>
      </c>
      <c r="B302" s="1" t="n">
        <v>44222</v>
      </c>
      <c r="C302" s="1" t="n">
        <v>45641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4626-2021</t>
        </is>
      </c>
      <c r="B303" s="1" t="n">
        <v>44224</v>
      </c>
      <c r="C303" s="1" t="n">
        <v>45641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5159-2021</t>
        </is>
      </c>
      <c r="B304" s="1" t="n">
        <v>44228</v>
      </c>
      <c r="C304" s="1" t="n">
        <v>45641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45641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6979-2021</t>
        </is>
      </c>
      <c r="B306" s="1" t="n">
        <v>44237</v>
      </c>
      <c r="C306" s="1" t="n">
        <v>45641</v>
      </c>
      <c r="D306" t="inlineStr">
        <is>
          <t>VÄSTRA GÖTALANDS LÄN</t>
        </is>
      </c>
      <c r="E306" t="inlineStr">
        <is>
          <t>BENGTSFORS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7849-2021</t>
        </is>
      </c>
      <c r="B307" s="1" t="n">
        <v>44242</v>
      </c>
      <c r="C307" s="1" t="n">
        <v>45641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8407-2021</t>
        </is>
      </c>
      <c r="B308" s="1" t="n">
        <v>44245</v>
      </c>
      <c r="C308" s="1" t="n">
        <v>45641</v>
      </c>
      <c r="D308" t="inlineStr">
        <is>
          <t>VÄSTRA GÖTALANDS LÄN</t>
        </is>
      </c>
      <c r="E308" t="inlineStr">
        <is>
          <t>BENGTSFORS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8412-2021</t>
        </is>
      </c>
      <c r="B309" s="1" t="n">
        <v>44245</v>
      </c>
      <c r="C309" s="1" t="n">
        <v>45641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8663-2021</t>
        </is>
      </c>
      <c r="B310" s="1" t="n">
        <v>44245</v>
      </c>
      <c r="C310" s="1" t="n">
        <v>45641</v>
      </c>
      <c r="D310" t="inlineStr">
        <is>
          <t>VÄSTRA GÖTALANDS LÄN</t>
        </is>
      </c>
      <c r="E310" t="inlineStr">
        <is>
          <t>BENGTSFORS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8884-2021</t>
        </is>
      </c>
      <c r="B311" s="1" t="n">
        <v>44247</v>
      </c>
      <c r="C311" s="1" t="n">
        <v>45641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9030-2021</t>
        </is>
      </c>
      <c r="B312" s="1" t="n">
        <v>44249</v>
      </c>
      <c r="C312" s="1" t="n">
        <v>45641</v>
      </c>
      <c r="D312" t="inlineStr">
        <is>
          <t>VÄSTRA GÖTALANDS LÄN</t>
        </is>
      </c>
      <c r="E312" t="inlineStr">
        <is>
          <t>BENGTSFORS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9099-2021</t>
        </is>
      </c>
      <c r="B313" s="1" t="n">
        <v>44249</v>
      </c>
      <c r="C313" s="1" t="n">
        <v>45641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Övriga Aktiebolag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9513-2021</t>
        </is>
      </c>
      <c r="B314" s="1" t="n">
        <v>44251</v>
      </c>
      <c r="C314" s="1" t="n">
        <v>45641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9756-2021</t>
        </is>
      </c>
      <c r="B315" s="1" t="n">
        <v>44252</v>
      </c>
      <c r="C315" s="1" t="n">
        <v>45641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10603-2021</t>
        </is>
      </c>
      <c r="B316" s="1" t="n">
        <v>44258</v>
      </c>
      <c r="C316" s="1" t="n">
        <v>45641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10622-2021</t>
        </is>
      </c>
      <c r="B317" s="1" t="n">
        <v>44258</v>
      </c>
      <c r="C317" s="1" t="n">
        <v>45641</v>
      </c>
      <c r="D317" t="inlineStr">
        <is>
          <t>VÄSTRA GÖTALANDS LÄN</t>
        </is>
      </c>
      <c r="E317" t="inlineStr">
        <is>
          <t>BENGTSFORS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10650-2021</t>
        </is>
      </c>
      <c r="B318" s="1" t="n">
        <v>44258</v>
      </c>
      <c r="C318" s="1" t="n">
        <v>45641</v>
      </c>
      <c r="D318" t="inlineStr">
        <is>
          <t>VÄSTRA GÖTALANDS LÄN</t>
        </is>
      </c>
      <c r="E318" t="inlineStr">
        <is>
          <t>BENGTSFORS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10544-2021</t>
        </is>
      </c>
      <c r="B319" s="1" t="n">
        <v>44258</v>
      </c>
      <c r="C319" s="1" t="n">
        <v>45641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11510-2021</t>
        </is>
      </c>
      <c r="B320" s="1" t="n">
        <v>44264</v>
      </c>
      <c r="C320" s="1" t="n">
        <v>45641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13583-2021</t>
        </is>
      </c>
      <c r="B321" s="1" t="n">
        <v>44274</v>
      </c>
      <c r="C321" s="1" t="n">
        <v>45641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13664-2021</t>
        </is>
      </c>
      <c r="B322" s="1" t="n">
        <v>44274</v>
      </c>
      <c r="C322" s="1" t="n">
        <v>45641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13936-2021</t>
        </is>
      </c>
      <c r="B323" s="1" t="n">
        <v>44277</v>
      </c>
      <c r="C323" s="1" t="n">
        <v>45641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16499-2021</t>
        </is>
      </c>
      <c r="B324" s="1" t="n">
        <v>44293</v>
      </c>
      <c r="C324" s="1" t="n">
        <v>45641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17405-2021</t>
        </is>
      </c>
      <c r="B325" s="1" t="n">
        <v>44298</v>
      </c>
      <c r="C325" s="1" t="n">
        <v>45641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17760-2021</t>
        </is>
      </c>
      <c r="B326" s="1" t="n">
        <v>44300</v>
      </c>
      <c r="C326" s="1" t="n">
        <v>45641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17767-2021</t>
        </is>
      </c>
      <c r="B327" s="1" t="n">
        <v>44300</v>
      </c>
      <c r="C327" s="1" t="n">
        <v>45641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17839-2021</t>
        </is>
      </c>
      <c r="B328" s="1" t="n">
        <v>44300</v>
      </c>
      <c r="C328" s="1" t="n">
        <v>45641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18054-2021</t>
        </is>
      </c>
      <c r="B329" s="1" t="n">
        <v>44302</v>
      </c>
      <c r="C329" s="1" t="n">
        <v>45641</v>
      </c>
      <c r="D329" t="inlineStr">
        <is>
          <t>VÄSTRA GÖTALANDS LÄN</t>
        </is>
      </c>
      <c r="E329" t="inlineStr">
        <is>
          <t>BENGTSFORS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18195-2021</t>
        </is>
      </c>
      <c r="B330" s="1" t="n">
        <v>44302</v>
      </c>
      <c r="C330" s="1" t="n">
        <v>45641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18309-2021</t>
        </is>
      </c>
      <c r="B331" s="1" t="n">
        <v>44305</v>
      </c>
      <c r="C331" s="1" t="n">
        <v>45641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18304-2021</t>
        </is>
      </c>
      <c r="B332" s="1" t="n">
        <v>44305</v>
      </c>
      <c r="C332" s="1" t="n">
        <v>45641</v>
      </c>
      <c r="D332" t="inlineStr">
        <is>
          <t>VÄSTRA GÖTALANDS LÄN</t>
        </is>
      </c>
      <c r="E332" t="inlineStr">
        <is>
          <t>BENGTSFORS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18620-2021</t>
        </is>
      </c>
      <c r="B333" s="1" t="n">
        <v>44306</v>
      </c>
      <c r="C333" s="1" t="n">
        <v>45641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18613-2021</t>
        </is>
      </c>
      <c r="B334" s="1" t="n">
        <v>44306</v>
      </c>
      <c r="C334" s="1" t="n">
        <v>45641</v>
      </c>
      <c r="D334" t="inlineStr">
        <is>
          <t>VÄSTRA GÖTALANDS LÄN</t>
        </is>
      </c>
      <c r="E334" t="inlineStr">
        <is>
          <t>BENGTSFORS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19490-2021</t>
        </is>
      </c>
      <c r="B335" s="1" t="n">
        <v>44307</v>
      </c>
      <c r="C335" s="1" t="n">
        <v>45641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19500-2021</t>
        </is>
      </c>
      <c r="B336" s="1" t="n">
        <v>44307</v>
      </c>
      <c r="C336" s="1" t="n">
        <v>45641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19767-2021</t>
        </is>
      </c>
      <c r="B337" s="1" t="n">
        <v>44309</v>
      </c>
      <c r="C337" s="1" t="n">
        <v>45641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20239-2021</t>
        </is>
      </c>
      <c r="B338" s="1" t="n">
        <v>44312</v>
      </c>
      <c r="C338" s="1" t="n">
        <v>45641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21463-2021</t>
        </is>
      </c>
      <c r="B339" s="1" t="n">
        <v>44321</v>
      </c>
      <c r="C339" s="1" t="n">
        <v>45641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21470-2021</t>
        </is>
      </c>
      <c r="B340" s="1" t="n">
        <v>44321</v>
      </c>
      <c r="C340" s="1" t="n">
        <v>45641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22628-2021</t>
        </is>
      </c>
      <c r="B341" s="1" t="n">
        <v>44326</v>
      </c>
      <c r="C341" s="1" t="n">
        <v>45641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23650-2021</t>
        </is>
      </c>
      <c r="B342" s="1" t="n">
        <v>44334</v>
      </c>
      <c r="C342" s="1" t="n">
        <v>45641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24641-2021</t>
        </is>
      </c>
      <c r="B343" s="1" t="n">
        <v>44340</v>
      </c>
      <c r="C343" s="1" t="n">
        <v>45641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24763-2021</t>
        </is>
      </c>
      <c r="B344" s="1" t="n">
        <v>44340</v>
      </c>
      <c r="C344" s="1" t="n">
        <v>45641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24609-2021</t>
        </is>
      </c>
      <c r="B345" s="1" t="n">
        <v>44340</v>
      </c>
      <c r="C345" s="1" t="n">
        <v>45641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24595-2021</t>
        </is>
      </c>
      <c r="B346" s="1" t="n">
        <v>44340</v>
      </c>
      <c r="C346" s="1" t="n">
        <v>45641</v>
      </c>
      <c r="D346" t="inlineStr">
        <is>
          <t>VÄSTRA GÖTALANDS LÄN</t>
        </is>
      </c>
      <c r="E346" t="inlineStr">
        <is>
          <t>BENGTSFORS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24903-2021</t>
        </is>
      </c>
      <c r="B347" s="1" t="n">
        <v>44341</v>
      </c>
      <c r="C347" s="1" t="n">
        <v>45641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24914-2021</t>
        </is>
      </c>
      <c r="B348" s="1" t="n">
        <v>44341</v>
      </c>
      <c r="C348" s="1" t="n">
        <v>45641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25714-2021</t>
        </is>
      </c>
      <c r="B349" s="1" t="n">
        <v>44343</v>
      </c>
      <c r="C349" s="1" t="n">
        <v>45641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25590-2021</t>
        </is>
      </c>
      <c r="B350" s="1" t="n">
        <v>44343</v>
      </c>
      <c r="C350" s="1" t="n">
        <v>45641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25738-2021</t>
        </is>
      </c>
      <c r="B351" s="1" t="n">
        <v>44343</v>
      </c>
      <c r="C351" s="1" t="n">
        <v>45641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26439-2021</t>
        </is>
      </c>
      <c r="B352" s="1" t="n">
        <v>44348</v>
      </c>
      <c r="C352" s="1" t="n">
        <v>45641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26830-2021</t>
        </is>
      </c>
      <c r="B353" s="1" t="n">
        <v>44349</v>
      </c>
      <c r="C353" s="1" t="n">
        <v>45641</v>
      </c>
      <c r="D353" t="inlineStr">
        <is>
          <t>VÄSTRA GÖTALANDS LÄN</t>
        </is>
      </c>
      <c r="E353" t="inlineStr">
        <is>
          <t>BENGTSFORS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26834-2021</t>
        </is>
      </c>
      <c r="B354" s="1" t="n">
        <v>44349</v>
      </c>
      <c r="C354" s="1" t="n">
        <v>45641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27082-2021</t>
        </is>
      </c>
      <c r="B355" s="1" t="n">
        <v>44350</v>
      </c>
      <c r="C355" s="1" t="n">
        <v>45641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27468-2021</t>
        </is>
      </c>
      <c r="B356" s="1" t="n">
        <v>44351</v>
      </c>
      <c r="C356" s="1" t="n">
        <v>45641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28320-2021</t>
        </is>
      </c>
      <c r="B357" s="1" t="n">
        <v>44356</v>
      </c>
      <c r="C357" s="1" t="n">
        <v>45641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45641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28786-2021</t>
        </is>
      </c>
      <c r="B359" s="1" t="n">
        <v>44357</v>
      </c>
      <c r="C359" s="1" t="n">
        <v>45641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28778-2021</t>
        </is>
      </c>
      <c r="B360" s="1" t="n">
        <v>44357</v>
      </c>
      <c r="C360" s="1" t="n">
        <v>45641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28782-2021</t>
        </is>
      </c>
      <c r="B361" s="1" t="n">
        <v>44357</v>
      </c>
      <c r="C361" s="1" t="n">
        <v>45641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29995-2021</t>
        </is>
      </c>
      <c r="B362" s="1" t="n">
        <v>44363</v>
      </c>
      <c r="C362" s="1" t="n">
        <v>45641</v>
      </c>
      <c r="D362" t="inlineStr">
        <is>
          <t>VÄSTRA GÖTALANDS LÄN</t>
        </is>
      </c>
      <c r="E362" t="inlineStr">
        <is>
          <t>BENGTSFORS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30935-2021</t>
        </is>
      </c>
      <c r="B363" s="1" t="n">
        <v>44365</v>
      </c>
      <c r="C363" s="1" t="n">
        <v>45641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31015-2021</t>
        </is>
      </c>
      <c r="B364" s="1" t="n">
        <v>44367</v>
      </c>
      <c r="C364" s="1" t="n">
        <v>45641</v>
      </c>
      <c r="D364" t="inlineStr">
        <is>
          <t>VÄSTRA GÖTALANDS LÄN</t>
        </is>
      </c>
      <c r="E364" t="inlineStr">
        <is>
          <t>BENGTSFORS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31196-2021</t>
        </is>
      </c>
      <c r="B365" s="1" t="n">
        <v>44368</v>
      </c>
      <c r="C365" s="1" t="n">
        <v>45641</v>
      </c>
      <c r="D365" t="inlineStr">
        <is>
          <t>VÄSTRA GÖTALANDS LÄN</t>
        </is>
      </c>
      <c r="E365" t="inlineStr">
        <is>
          <t>BENGTSFORS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31218-2021</t>
        </is>
      </c>
      <c r="B366" s="1" t="n">
        <v>44368</v>
      </c>
      <c r="C366" s="1" t="n">
        <v>45641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31214-2021</t>
        </is>
      </c>
      <c r="B367" s="1" t="n">
        <v>44368</v>
      </c>
      <c r="C367" s="1" t="n">
        <v>45641</v>
      </c>
      <c r="D367" t="inlineStr">
        <is>
          <t>VÄSTRA GÖTALANDS LÄN</t>
        </is>
      </c>
      <c r="E367" t="inlineStr">
        <is>
          <t>BENGTSFORS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31445-2021</t>
        </is>
      </c>
      <c r="B368" s="1" t="n">
        <v>44369</v>
      </c>
      <c r="C368" s="1" t="n">
        <v>45641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31426-2021</t>
        </is>
      </c>
      <c r="B369" s="1" t="n">
        <v>44369</v>
      </c>
      <c r="C369" s="1" t="n">
        <v>45641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31947-2021</t>
        </is>
      </c>
      <c r="B370" s="1" t="n">
        <v>44370</v>
      </c>
      <c r="C370" s="1" t="n">
        <v>45641</v>
      </c>
      <c r="D370" t="inlineStr">
        <is>
          <t>VÄSTRA GÖTALANDS LÄN</t>
        </is>
      </c>
      <c r="E370" t="inlineStr">
        <is>
          <t>BENGTSFORS</t>
        </is>
      </c>
      <c r="G370" t="n">
        <v>21.8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32239-2021</t>
        </is>
      </c>
      <c r="B371" s="1" t="n">
        <v>44371</v>
      </c>
      <c r="C371" s="1" t="n">
        <v>45641</v>
      </c>
      <c r="D371" t="inlineStr">
        <is>
          <t>VÄSTRA GÖTALANDS LÄN</t>
        </is>
      </c>
      <c r="E371" t="inlineStr">
        <is>
          <t>BENGTSFORS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32700-2021</t>
        </is>
      </c>
      <c r="B372" s="1" t="n">
        <v>44375</v>
      </c>
      <c r="C372" s="1" t="n">
        <v>45641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33285-2021</t>
        </is>
      </c>
      <c r="B373" s="1" t="n">
        <v>44377</v>
      </c>
      <c r="C373" s="1" t="n">
        <v>45641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33380-2021</t>
        </is>
      </c>
      <c r="B374" s="1" t="n">
        <v>44377</v>
      </c>
      <c r="C374" s="1" t="n">
        <v>45641</v>
      </c>
      <c r="D374" t="inlineStr">
        <is>
          <t>VÄSTRA GÖTALANDS LÄN</t>
        </is>
      </c>
      <c r="E374" t="inlineStr">
        <is>
          <t>BENGTSFORS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34056-2021</t>
        </is>
      </c>
      <c r="B375" s="1" t="n">
        <v>44379</v>
      </c>
      <c r="C375" s="1" t="n">
        <v>45641</v>
      </c>
      <c r="D375" t="inlineStr">
        <is>
          <t>VÄSTRA GÖTALANDS LÄN</t>
        </is>
      </c>
      <c r="E375" t="inlineStr">
        <is>
          <t>BENGTSFORS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34906-2021</t>
        </is>
      </c>
      <c r="B376" s="1" t="n">
        <v>44382</v>
      </c>
      <c r="C376" s="1" t="n">
        <v>45641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34863-2021</t>
        </is>
      </c>
      <c r="B377" s="1" t="n">
        <v>44383</v>
      </c>
      <c r="C377" s="1" t="n">
        <v>45641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35501-2021</t>
        </is>
      </c>
      <c r="B378" s="1" t="n">
        <v>44385</v>
      </c>
      <c r="C378" s="1" t="n">
        <v>45641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35753-2021</t>
        </is>
      </c>
      <c r="B379" s="1" t="n">
        <v>44385</v>
      </c>
      <c r="C379" s="1" t="n">
        <v>45641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36988-2021</t>
        </is>
      </c>
      <c r="B380" s="1" t="n">
        <v>44393</v>
      </c>
      <c r="C380" s="1" t="n">
        <v>45641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37857-2021</t>
        </is>
      </c>
      <c r="B381" s="1" t="n">
        <v>44403</v>
      </c>
      <c r="C381" s="1" t="n">
        <v>45641</v>
      </c>
      <c r="D381" t="inlineStr">
        <is>
          <t>VÄSTRA GÖTALANDS LÄN</t>
        </is>
      </c>
      <c r="E381" t="inlineStr">
        <is>
          <t>BENGTSFORS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38995-2021</t>
        </is>
      </c>
      <c r="B382" s="1" t="n">
        <v>44412</v>
      </c>
      <c r="C382" s="1" t="n">
        <v>45641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39105-2021</t>
        </is>
      </c>
      <c r="B383" s="1" t="n">
        <v>44412</v>
      </c>
      <c r="C383" s="1" t="n">
        <v>45641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39084-2021</t>
        </is>
      </c>
      <c r="B384" s="1" t="n">
        <v>44412</v>
      </c>
      <c r="C384" s="1" t="n">
        <v>45641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39795-2021</t>
        </is>
      </c>
      <c r="B385" s="1" t="n">
        <v>44417</v>
      </c>
      <c r="C385" s="1" t="n">
        <v>45641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39818-2021</t>
        </is>
      </c>
      <c r="B386" s="1" t="n">
        <v>44417</v>
      </c>
      <c r="C386" s="1" t="n">
        <v>45641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39917-2021</t>
        </is>
      </c>
      <c r="B387" s="1" t="n">
        <v>44417</v>
      </c>
      <c r="C387" s="1" t="n">
        <v>45641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40429-2021</t>
        </is>
      </c>
      <c r="B388" s="1" t="n">
        <v>44419</v>
      </c>
      <c r="C388" s="1" t="n">
        <v>45641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40954-2021</t>
        </is>
      </c>
      <c r="B389" s="1" t="n">
        <v>44421</v>
      </c>
      <c r="C389" s="1" t="n">
        <v>45641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42640-2021</t>
        </is>
      </c>
      <c r="B390" s="1" t="n">
        <v>44428</v>
      </c>
      <c r="C390" s="1" t="n">
        <v>45641</v>
      </c>
      <c r="D390" t="inlineStr">
        <is>
          <t>VÄSTRA GÖTALANDS LÄN</t>
        </is>
      </c>
      <c r="E390" t="inlineStr">
        <is>
          <t>BENGTSFORS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42869-2021</t>
        </is>
      </c>
      <c r="B391" s="1" t="n">
        <v>44428</v>
      </c>
      <c r="C391" s="1" t="n">
        <v>45641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43336-2021</t>
        </is>
      </c>
      <c r="B392" s="1" t="n">
        <v>44432</v>
      </c>
      <c r="C392" s="1" t="n">
        <v>45641</v>
      </c>
      <c r="D392" t="inlineStr">
        <is>
          <t>VÄSTRA GÖTALANDS LÄN</t>
        </is>
      </c>
      <c r="E392" t="inlineStr">
        <is>
          <t>BENGTSFORS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43696-2021</t>
        </is>
      </c>
      <c r="B393" s="1" t="n">
        <v>44433</v>
      </c>
      <c r="C393" s="1" t="n">
        <v>45641</v>
      </c>
      <c r="D393" t="inlineStr">
        <is>
          <t>VÄSTRA GÖTALANDS LÄN</t>
        </is>
      </c>
      <c r="E393" t="inlineStr">
        <is>
          <t>BENGTSFORS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44642-2021</t>
        </is>
      </c>
      <c r="B394" s="1" t="n">
        <v>44437</v>
      </c>
      <c r="C394" s="1" t="n">
        <v>45641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45420-2021</t>
        </is>
      </c>
      <c r="B395" s="1" t="n">
        <v>44440</v>
      </c>
      <c r="C395" s="1" t="n">
        <v>45641</v>
      </c>
      <c r="D395" t="inlineStr">
        <is>
          <t>VÄSTRA GÖTALANDS LÄN</t>
        </is>
      </c>
      <c r="E395" t="inlineStr">
        <is>
          <t>BENGTSFORS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45732-2021</t>
        </is>
      </c>
      <c r="B396" s="1" t="n">
        <v>44441</v>
      </c>
      <c r="C396" s="1" t="n">
        <v>45641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45842-2021</t>
        </is>
      </c>
      <c r="B397" s="1" t="n">
        <v>44441</v>
      </c>
      <c r="C397" s="1" t="n">
        <v>45641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45847-2021</t>
        </is>
      </c>
      <c r="B398" s="1" t="n">
        <v>44441</v>
      </c>
      <c r="C398" s="1" t="n">
        <v>45641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46285-2021</t>
        </is>
      </c>
      <c r="B399" s="1" t="n">
        <v>44442</v>
      </c>
      <c r="C399" s="1" t="n">
        <v>45641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46323-2021</t>
        </is>
      </c>
      <c r="B400" s="1" t="n">
        <v>44442</v>
      </c>
      <c r="C400" s="1" t="n">
        <v>45641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46825-2021</t>
        </is>
      </c>
      <c r="B401" s="1" t="n">
        <v>44446</v>
      </c>
      <c r="C401" s="1" t="n">
        <v>45641</v>
      </c>
      <c r="D401" t="inlineStr">
        <is>
          <t>VÄSTRA GÖTALANDS LÄN</t>
        </is>
      </c>
      <c r="E401" t="inlineStr">
        <is>
          <t>BENGTSFORS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47091-2021</t>
        </is>
      </c>
      <c r="B402" s="1" t="n">
        <v>44446</v>
      </c>
      <c r="C402" s="1" t="n">
        <v>45641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49747-2021</t>
        </is>
      </c>
      <c r="B403" s="1" t="n">
        <v>44453</v>
      </c>
      <c r="C403" s="1" t="n">
        <v>45641</v>
      </c>
      <c r="D403" t="inlineStr">
        <is>
          <t>VÄSTRA GÖTALANDS LÄN</t>
        </is>
      </c>
      <c r="E403" t="inlineStr">
        <is>
          <t>BENGTSFORS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49778-2021</t>
        </is>
      </c>
      <c r="B404" s="1" t="n">
        <v>44453</v>
      </c>
      <c r="C404" s="1" t="n">
        <v>45641</v>
      </c>
      <c r="D404" t="inlineStr">
        <is>
          <t>VÄSTRA GÖTALANDS LÄN</t>
        </is>
      </c>
      <c r="E404" t="inlineStr">
        <is>
          <t>BENGTSFORS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50837-2021</t>
        </is>
      </c>
      <c r="B405" s="1" t="n">
        <v>44460</v>
      </c>
      <c r="C405" s="1" t="n">
        <v>45641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52560-2021</t>
        </is>
      </c>
      <c r="B406" s="1" t="n">
        <v>44466</v>
      </c>
      <c r="C406" s="1" t="n">
        <v>45641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53800-2021</t>
        </is>
      </c>
      <c r="B407" s="1" t="n">
        <v>44469</v>
      </c>
      <c r="C407" s="1" t="n">
        <v>45641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54309-2021</t>
        </is>
      </c>
      <c r="B408" s="1" t="n">
        <v>44472</v>
      </c>
      <c r="C408" s="1" t="n">
        <v>45641</v>
      </c>
      <c r="D408" t="inlineStr">
        <is>
          <t>VÄSTRA GÖTALANDS LÄN</t>
        </is>
      </c>
      <c r="E408" t="inlineStr">
        <is>
          <t>BENGTSFORS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55523-2021</t>
        </is>
      </c>
      <c r="B409" s="1" t="n">
        <v>44475</v>
      </c>
      <c r="C409" s="1" t="n">
        <v>45641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55732-2021</t>
        </is>
      </c>
      <c r="B410" s="1" t="n">
        <v>44476</v>
      </c>
      <c r="C410" s="1" t="n">
        <v>45641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55900-2021</t>
        </is>
      </c>
      <c r="B411" s="1" t="n">
        <v>44476</v>
      </c>
      <c r="C411" s="1" t="n">
        <v>45641</v>
      </c>
      <c r="D411" t="inlineStr">
        <is>
          <t>VÄSTRA GÖTALANDS LÄN</t>
        </is>
      </c>
      <c r="E411" t="inlineStr">
        <is>
          <t>BENGTSFORS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55882-2021</t>
        </is>
      </c>
      <c r="B412" s="1" t="n">
        <v>44476</v>
      </c>
      <c r="C412" s="1" t="n">
        <v>45641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55880-2021</t>
        </is>
      </c>
      <c r="B413" s="1" t="n">
        <v>44476</v>
      </c>
      <c r="C413" s="1" t="n">
        <v>45641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55975-2021</t>
        </is>
      </c>
      <c r="B414" s="1" t="n">
        <v>44477</v>
      </c>
      <c r="C414" s="1" t="n">
        <v>45641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56460-2021</t>
        </is>
      </c>
      <c r="B415" s="1" t="n">
        <v>44480</v>
      </c>
      <c r="C415" s="1" t="n">
        <v>45641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58184-2021</t>
        </is>
      </c>
      <c r="B416" s="1" t="n">
        <v>44487</v>
      </c>
      <c r="C416" s="1" t="n">
        <v>45641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57998-2021</t>
        </is>
      </c>
      <c r="B417" s="1" t="n">
        <v>44487</v>
      </c>
      <c r="C417" s="1" t="n">
        <v>45641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58217-2021</t>
        </is>
      </c>
      <c r="B418" s="1" t="n">
        <v>44487</v>
      </c>
      <c r="C418" s="1" t="n">
        <v>45641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58320-2021</t>
        </is>
      </c>
      <c r="B419" s="1" t="n">
        <v>44488</v>
      </c>
      <c r="C419" s="1" t="n">
        <v>45641</v>
      </c>
      <c r="D419" t="inlineStr">
        <is>
          <t>VÄSTRA GÖTALANDS LÄN</t>
        </is>
      </c>
      <c r="E419" t="inlineStr">
        <is>
          <t>BENGTSFORS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58454-2021</t>
        </is>
      </c>
      <c r="B420" s="1" t="n">
        <v>44488</v>
      </c>
      <c r="C420" s="1" t="n">
        <v>45641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58506-2021</t>
        </is>
      </c>
      <c r="B421" s="1" t="n">
        <v>44488</v>
      </c>
      <c r="C421" s="1" t="n">
        <v>45641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58510-2021</t>
        </is>
      </c>
      <c r="B422" s="1" t="n">
        <v>44488</v>
      </c>
      <c r="C422" s="1" t="n">
        <v>45641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59856-2021</t>
        </is>
      </c>
      <c r="B423" s="1" t="n">
        <v>44494</v>
      </c>
      <c r="C423" s="1" t="n">
        <v>45641</v>
      </c>
      <c r="D423" t="inlineStr">
        <is>
          <t>VÄSTRA GÖTALANDS LÄN</t>
        </is>
      </c>
      <c r="E423" t="inlineStr">
        <is>
          <t>BENGTSFORS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60105-2021</t>
        </is>
      </c>
      <c r="B424" s="1" t="n">
        <v>44495</v>
      </c>
      <c r="C424" s="1" t="n">
        <v>45641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60491-2021</t>
        </is>
      </c>
      <c r="B425" s="1" t="n">
        <v>44496</v>
      </c>
      <c r="C425" s="1" t="n">
        <v>45641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60849-2021</t>
        </is>
      </c>
      <c r="B426" s="1" t="n">
        <v>44497</v>
      </c>
      <c r="C426" s="1" t="n">
        <v>45641</v>
      </c>
      <c r="D426" t="inlineStr">
        <is>
          <t>VÄSTRA GÖTALANDS LÄN</t>
        </is>
      </c>
      <c r="E426" t="inlineStr">
        <is>
          <t>BENGTSFORS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60975-2021</t>
        </is>
      </c>
      <c r="B427" s="1" t="n">
        <v>44497</v>
      </c>
      <c r="C427" s="1" t="n">
        <v>45641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61821-2021</t>
        </is>
      </c>
      <c r="B428" s="1" t="n">
        <v>44501</v>
      </c>
      <c r="C428" s="1" t="n">
        <v>45641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61820-2021</t>
        </is>
      </c>
      <c r="B429" s="1" t="n">
        <v>44501</v>
      </c>
      <c r="C429" s="1" t="n">
        <v>45641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62928-2021</t>
        </is>
      </c>
      <c r="B430" s="1" t="n">
        <v>44504</v>
      </c>
      <c r="C430" s="1" t="n">
        <v>45641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63068-2021</t>
        </is>
      </c>
      <c r="B431" s="1" t="n">
        <v>44505</v>
      </c>
      <c r="C431" s="1" t="n">
        <v>45641</v>
      </c>
      <c r="D431" t="inlineStr">
        <is>
          <t>VÄSTRA GÖTALANDS LÄN</t>
        </is>
      </c>
      <c r="E431" t="inlineStr">
        <is>
          <t>BENGTSFORS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63401-2021</t>
        </is>
      </c>
      <c r="B432" s="1" t="n">
        <v>44508</v>
      </c>
      <c r="C432" s="1" t="n">
        <v>45641</v>
      </c>
      <c r="D432" t="inlineStr">
        <is>
          <t>VÄSTRA GÖTALANDS LÄN</t>
        </is>
      </c>
      <c r="E432" t="inlineStr">
        <is>
          <t>BENGTSFORS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63485-2021</t>
        </is>
      </c>
      <c r="B433" s="1" t="n">
        <v>44508</v>
      </c>
      <c r="C433" s="1" t="n">
        <v>45641</v>
      </c>
      <c r="D433" t="inlineStr">
        <is>
          <t>VÄSTRA GÖTALANDS LÄN</t>
        </is>
      </c>
      <c r="E433" t="inlineStr">
        <is>
          <t>BENGTSFORS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63734-2021</t>
        </is>
      </c>
      <c r="B434" s="1" t="n">
        <v>44508</v>
      </c>
      <c r="C434" s="1" t="n">
        <v>45641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64837-2021</t>
        </is>
      </c>
      <c r="B435" s="1" t="n">
        <v>44512</v>
      </c>
      <c r="C435" s="1" t="n">
        <v>45641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64977-2021</t>
        </is>
      </c>
      <c r="B436" s="1" t="n">
        <v>44513</v>
      </c>
      <c r="C436" s="1" t="n">
        <v>45641</v>
      </c>
      <c r="D436" t="inlineStr">
        <is>
          <t>VÄSTRA GÖTALANDS LÄN</t>
        </is>
      </c>
      <c r="E436" t="inlineStr">
        <is>
          <t>BENGTSFORS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65674-2021</t>
        </is>
      </c>
      <c r="B437" s="1" t="n">
        <v>44516</v>
      </c>
      <c r="C437" s="1" t="n">
        <v>45641</v>
      </c>
      <c r="D437" t="inlineStr">
        <is>
          <t>VÄSTRA GÖTALANDS LÄN</t>
        </is>
      </c>
      <c r="E437" t="inlineStr">
        <is>
          <t>BENGTSFORS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65763-2021</t>
        </is>
      </c>
      <c r="B438" s="1" t="n">
        <v>44516</v>
      </c>
      <c r="C438" s="1" t="n">
        <v>45641</v>
      </c>
      <c r="D438" t="inlineStr">
        <is>
          <t>VÄSTRA GÖTALANDS LÄN</t>
        </is>
      </c>
      <c r="E438" t="inlineStr">
        <is>
          <t>BENGTSFORS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66391-2021</t>
        </is>
      </c>
      <c r="B439" s="1" t="n">
        <v>44518</v>
      </c>
      <c r="C439" s="1" t="n">
        <v>45641</v>
      </c>
      <c r="D439" t="inlineStr">
        <is>
          <t>VÄSTRA GÖTALANDS LÄN</t>
        </is>
      </c>
      <c r="E439" t="inlineStr">
        <is>
          <t>BENGTSFORS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67777-2021</t>
        </is>
      </c>
      <c r="B440" s="1" t="n">
        <v>44524</v>
      </c>
      <c r="C440" s="1" t="n">
        <v>45641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67916-2021</t>
        </is>
      </c>
      <c r="B441" s="1" t="n">
        <v>44525</v>
      </c>
      <c r="C441" s="1" t="n">
        <v>45641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67935-2021</t>
        </is>
      </c>
      <c r="B442" s="1" t="n">
        <v>44525</v>
      </c>
      <c r="C442" s="1" t="n">
        <v>45641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68144-2021</t>
        </is>
      </c>
      <c r="B443" s="1" t="n">
        <v>44526</v>
      </c>
      <c r="C443" s="1" t="n">
        <v>45641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71463-2021</t>
        </is>
      </c>
      <c r="B444" s="1" t="n">
        <v>44540</v>
      </c>
      <c r="C444" s="1" t="n">
        <v>45641</v>
      </c>
      <c r="D444" t="inlineStr">
        <is>
          <t>VÄSTRA GÖTALANDS LÄN</t>
        </is>
      </c>
      <c r="E444" t="inlineStr">
        <is>
          <t>BENGTSFORS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72046-2021</t>
        </is>
      </c>
      <c r="B445" s="1" t="n">
        <v>44544</v>
      </c>
      <c r="C445" s="1" t="n">
        <v>45641</v>
      </c>
      <c r="D445" t="inlineStr">
        <is>
          <t>VÄSTRA GÖTALANDS LÄN</t>
        </is>
      </c>
      <c r="E445" t="inlineStr">
        <is>
          <t>BENGTSFORS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72043-2021</t>
        </is>
      </c>
      <c r="B446" s="1" t="n">
        <v>44544</v>
      </c>
      <c r="C446" s="1" t="n">
        <v>45641</v>
      </c>
      <c r="D446" t="inlineStr">
        <is>
          <t>VÄSTRA GÖTALANDS LÄN</t>
        </is>
      </c>
      <c r="E446" t="inlineStr">
        <is>
          <t>BENGTSFORS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73200-2021</t>
        </is>
      </c>
      <c r="B447" s="1" t="n">
        <v>44550</v>
      </c>
      <c r="C447" s="1" t="n">
        <v>45641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73585-2021</t>
        </is>
      </c>
      <c r="B448" s="1" t="n">
        <v>44552</v>
      </c>
      <c r="C448" s="1" t="n">
        <v>45641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73594-2021</t>
        </is>
      </c>
      <c r="B449" s="1" t="n">
        <v>44552</v>
      </c>
      <c r="C449" s="1" t="n">
        <v>45641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73587-2021</t>
        </is>
      </c>
      <c r="B450" s="1" t="n">
        <v>44552</v>
      </c>
      <c r="C450" s="1" t="n">
        <v>45641</v>
      </c>
      <c r="D450" t="inlineStr">
        <is>
          <t>VÄSTRA GÖTALANDS LÄN</t>
        </is>
      </c>
      <c r="E450" t="inlineStr">
        <is>
          <t>BENGTSFORS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74225-2021</t>
        </is>
      </c>
      <c r="B451" s="1" t="n">
        <v>44558</v>
      </c>
      <c r="C451" s="1" t="n">
        <v>45641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224-2022</t>
        </is>
      </c>
      <c r="B452" s="1" t="n">
        <v>44564</v>
      </c>
      <c r="C452" s="1" t="n">
        <v>45641</v>
      </c>
      <c r="D452" t="inlineStr">
        <is>
          <t>VÄSTRA GÖTALANDS LÄN</t>
        </is>
      </c>
      <c r="E452" t="inlineStr">
        <is>
          <t>BENGTSFORS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726-2022</t>
        </is>
      </c>
      <c r="B453" s="1" t="n">
        <v>44566</v>
      </c>
      <c r="C453" s="1" t="n">
        <v>45641</v>
      </c>
      <c r="D453" t="inlineStr">
        <is>
          <t>VÄSTRA GÖTALANDS LÄN</t>
        </is>
      </c>
      <c r="E453" t="inlineStr">
        <is>
          <t>BENGTSFORS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928-2022</t>
        </is>
      </c>
      <c r="B454" s="1" t="n">
        <v>44571</v>
      </c>
      <c r="C454" s="1" t="n">
        <v>45641</v>
      </c>
      <c r="D454" t="inlineStr">
        <is>
          <t>VÄSTRA GÖTALANDS LÄN</t>
        </is>
      </c>
      <c r="E454" t="inlineStr">
        <is>
          <t>BENGTSFORS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1114-2022</t>
        </is>
      </c>
      <c r="B455" s="1" t="n">
        <v>44571</v>
      </c>
      <c r="C455" s="1" t="n">
        <v>45641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1220-2022</t>
        </is>
      </c>
      <c r="B456" s="1" t="n">
        <v>44572</v>
      </c>
      <c r="C456" s="1" t="n">
        <v>45641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1286-2022</t>
        </is>
      </c>
      <c r="B457" s="1" t="n">
        <v>44572</v>
      </c>
      <c r="C457" s="1" t="n">
        <v>45641</v>
      </c>
      <c r="D457" t="inlineStr">
        <is>
          <t>VÄSTRA GÖTALANDS LÄN</t>
        </is>
      </c>
      <c r="E457" t="inlineStr">
        <is>
          <t>BENGTSFORS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1315-2022</t>
        </is>
      </c>
      <c r="B458" s="1" t="n">
        <v>44572</v>
      </c>
      <c r="C458" s="1" t="n">
        <v>45641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1316-2022</t>
        </is>
      </c>
      <c r="B459" s="1" t="n">
        <v>44572</v>
      </c>
      <c r="C459" s="1" t="n">
        <v>45641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1577-2022</t>
        </is>
      </c>
      <c r="B460" s="1" t="n">
        <v>44573</v>
      </c>
      <c r="C460" s="1" t="n">
        <v>45641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1582-2022</t>
        </is>
      </c>
      <c r="B461" s="1" t="n">
        <v>44573</v>
      </c>
      <c r="C461" s="1" t="n">
        <v>45641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1592-2022</t>
        </is>
      </c>
      <c r="B462" s="1" t="n">
        <v>44573</v>
      </c>
      <c r="C462" s="1" t="n">
        <v>45641</v>
      </c>
      <c r="D462" t="inlineStr">
        <is>
          <t>VÄSTRA GÖTALANDS LÄN</t>
        </is>
      </c>
      <c r="E462" t="inlineStr">
        <is>
          <t>BENGTSFORS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1584-2022</t>
        </is>
      </c>
      <c r="B463" s="1" t="n">
        <v>44573</v>
      </c>
      <c r="C463" s="1" t="n">
        <v>45641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2296-2022</t>
        </is>
      </c>
      <c r="B464" s="1" t="n">
        <v>44578</v>
      </c>
      <c r="C464" s="1" t="n">
        <v>45641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2298-2022</t>
        </is>
      </c>
      <c r="B465" s="1" t="n">
        <v>44578</v>
      </c>
      <c r="C465" s="1" t="n">
        <v>45641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2956-2022</t>
        </is>
      </c>
      <c r="B466" s="1" t="n">
        <v>44581</v>
      </c>
      <c r="C466" s="1" t="n">
        <v>45641</v>
      </c>
      <c r="D466" t="inlineStr">
        <is>
          <t>VÄSTRA GÖTALANDS LÄN</t>
        </is>
      </c>
      <c r="E466" t="inlineStr">
        <is>
          <t>BENGTSFORS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3473-2022</t>
        </is>
      </c>
      <c r="B467" s="1" t="n">
        <v>44585</v>
      </c>
      <c r="C467" s="1" t="n">
        <v>45641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3486-2022</t>
        </is>
      </c>
      <c r="B468" s="1" t="n">
        <v>44585</v>
      </c>
      <c r="C468" s="1" t="n">
        <v>45641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4760-2022</t>
        </is>
      </c>
      <c r="B469" s="1" t="n">
        <v>44592</v>
      </c>
      <c r="C469" s="1" t="n">
        <v>45641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4918-2022</t>
        </is>
      </c>
      <c r="B470" s="1" t="n">
        <v>44593</v>
      </c>
      <c r="C470" s="1" t="n">
        <v>45641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5241-2022</t>
        </is>
      </c>
      <c r="B471" s="1" t="n">
        <v>44594</v>
      </c>
      <c r="C471" s="1" t="n">
        <v>45641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5585-2022</t>
        </is>
      </c>
      <c r="B472" s="1" t="n">
        <v>44595</v>
      </c>
      <c r="C472" s="1" t="n">
        <v>45641</v>
      </c>
      <c r="D472" t="inlineStr">
        <is>
          <t>VÄSTRA GÖTALANDS LÄN</t>
        </is>
      </c>
      <c r="E472" t="inlineStr">
        <is>
          <t>BENGTSFORS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5690-2022</t>
        </is>
      </c>
      <c r="B473" s="1" t="n">
        <v>44596</v>
      </c>
      <c r="C473" s="1" t="n">
        <v>45641</v>
      </c>
      <c r="D473" t="inlineStr">
        <is>
          <t>VÄSTRA GÖTALANDS LÄN</t>
        </is>
      </c>
      <c r="E473" t="inlineStr">
        <is>
          <t>BENGTSFORS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5687-2022</t>
        </is>
      </c>
      <c r="B474" s="1" t="n">
        <v>44596</v>
      </c>
      <c r="C474" s="1" t="n">
        <v>45641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45641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45641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45641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45641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45641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45641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45641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45641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45641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45641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45641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45641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45641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45641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45641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45641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45641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45641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45641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45641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45641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45641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45641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45641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45641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45641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45641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45641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45641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45641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45641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45641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45641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45641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45641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45641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45641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45641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45641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45641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45641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45641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45641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45641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45641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45641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45641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45641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45641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45641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45641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45641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45641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45641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45641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45641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45641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45641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45641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45641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45641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45641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45641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45641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45641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45641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45641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45641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45641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45641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45641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45641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45641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45641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45641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45641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45641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45641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45641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45641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45641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45641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45641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45641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45641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45641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45641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45641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45641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45641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45641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45641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45641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45641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45641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45641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45641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45641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45641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45641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45641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45641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45641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45641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45641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45641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45641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45641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45641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45641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45641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45641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45641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45641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45641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45641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45641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45641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45641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45641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45641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45641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45641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45641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45641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45641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45641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45641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45641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45641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45641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45641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45641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45641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45641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45641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45641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45641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45641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45641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45641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45641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45641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45641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45641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45641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45641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45641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45641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45641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45641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45641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45641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45641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45641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45641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45641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45641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45641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45641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45641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45641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45641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45641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45641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45641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45641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45641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45641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45641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45641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45641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45641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45641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45641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45641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45641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45641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45641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45641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45641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45641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45641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45641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45641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45641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45641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45641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45641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45641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45641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45641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45641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45641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45641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45641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45641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45641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45641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45641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45641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45641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45641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45641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45641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45641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45641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45641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45641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45641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45641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45641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45641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45641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45641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45641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45641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45641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45641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45641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45641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45641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45641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45641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45641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45641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45641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45641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45641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45641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45641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45641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45641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45641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45641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45641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45641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45641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45641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45641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45641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45641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45641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45641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45641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45641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45641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45641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45641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45641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45641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45641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45641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45641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45641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45641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45641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45641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45641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45641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45641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45641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45641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45641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45641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45641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45641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45641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45641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45641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45641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45641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45641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45641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45641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45641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45641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45641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45641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45641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45641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45641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45641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45641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45641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45641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45641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45641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45641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45641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45641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45641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45641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45641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45641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45641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45641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45641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45641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45641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45641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45641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45641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45641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45641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45641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45641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45641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45641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45641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45641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45641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45641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45641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45641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45641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45641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45641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45641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45641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45641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45641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45641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45641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45641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45641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45641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45641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45641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45641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45641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45641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45641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45641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45641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45641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45641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45641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45641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45641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45641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45641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45641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45641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45641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45641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45641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45641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45641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45641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45641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45641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45641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45641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45641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45641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45641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45641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45641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45641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45641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45641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45641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45641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45641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45641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45641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45641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45641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45641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45641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45641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45641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45641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45641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45641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45641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45641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45641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45641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45641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45641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45641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45641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45641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45641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45641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45641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45641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45641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45641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45641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45641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45641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45641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45641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45641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45641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45641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45641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45641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45641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45641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45641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45641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45641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45641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45641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45641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45641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45641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45641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45641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45641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45641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45641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45641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45641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45641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45641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45641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45641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45641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45641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45641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45641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45641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45641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45641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45641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45641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45641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45641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45641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45641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45641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45641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45641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45641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45641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45641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45641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45641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45641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45641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45641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45641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45641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45641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45641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45641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45641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45641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45641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45641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45641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45641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45641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45641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45641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45641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45641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45641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45641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45641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45641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45641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45641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45641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45641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45641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45641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45641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45641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45641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45641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45641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45641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45641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45641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45641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45641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45641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45641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45641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45641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45641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45641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45641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45641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45641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45641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45641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45641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45641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45641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45641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45641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45641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45641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45641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45641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45641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45641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45641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45641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45641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45641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45641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45641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45641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45641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45641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45641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45641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45641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45641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45641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45641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45641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45641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45641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45641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45641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45641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45641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45641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45641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45641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45641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45641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45641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45641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45641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45641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45641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45641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45641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45641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45641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45641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45641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45641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45641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45641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45641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45641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45641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45641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45641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45641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45641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45641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45641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45641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45641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45641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45641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45641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45641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45641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45641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45641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45641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45641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45641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45641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45641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45641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45641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45641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45641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45641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45641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45641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45641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45641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45641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45641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45641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45641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45641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45641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45641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45641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45641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45641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45641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45641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45641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45641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45641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45641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45641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45641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45641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45641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45641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45641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45641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45641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45641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45641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45641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45641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45641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45641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54099-2024</t>
        </is>
      </c>
      <c r="B1082" s="1" t="n">
        <v>45616</v>
      </c>
      <c r="C1082" s="1" t="n">
        <v>45641</v>
      </c>
      <c r="D1082" t="inlineStr">
        <is>
          <t>VÄSTRA GÖTALANDS LÄN</t>
        </is>
      </c>
      <c r="E1082" t="inlineStr">
        <is>
          <t>BENGTSFORS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54046-2024</t>
        </is>
      </c>
      <c r="B1083" s="1" t="n">
        <v>45616</v>
      </c>
      <c r="C1083" s="1" t="n">
        <v>45641</v>
      </c>
      <c r="D1083" t="inlineStr">
        <is>
          <t>VÄSTRA GÖTALANDS LÄN</t>
        </is>
      </c>
      <c r="E1083" t="inlineStr">
        <is>
          <t>BENGTSFORS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55193-2024</t>
        </is>
      </c>
      <c r="B1084" s="1" t="n">
        <v>45621</v>
      </c>
      <c r="C1084" s="1" t="n">
        <v>45641</v>
      </c>
      <c r="D1084" t="inlineStr">
        <is>
          <t>VÄSTRA GÖTALANDS LÄN</t>
        </is>
      </c>
      <c r="E1084" t="inlineStr">
        <is>
          <t>BENGTSFORS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55208-2024</t>
        </is>
      </c>
      <c r="B1085" s="1" t="n">
        <v>45621</v>
      </c>
      <c r="C1085" s="1" t="n">
        <v>45641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45641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55190-2024</t>
        </is>
      </c>
      <c r="B1087" s="1" t="n">
        <v>45621</v>
      </c>
      <c r="C1087" s="1" t="n">
        <v>45641</v>
      </c>
      <c r="D1087" t="inlineStr">
        <is>
          <t>VÄSTRA GÖTALANDS LÄN</t>
        </is>
      </c>
      <c r="E1087" t="inlineStr">
        <is>
          <t>BENGTSFORS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55532-2024</t>
        </is>
      </c>
      <c r="B1088" s="1" t="n">
        <v>45622</v>
      </c>
      <c r="C1088" s="1" t="n">
        <v>45641</v>
      </c>
      <c r="D1088" t="inlineStr">
        <is>
          <t>VÄSTRA GÖTALANDS LÄN</t>
        </is>
      </c>
      <c r="E1088" t="inlineStr">
        <is>
          <t>BENGTSFORS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55918-2024</t>
        </is>
      </c>
      <c r="B1089" s="1" t="n">
        <v>45623</v>
      </c>
      <c r="C1089" s="1" t="n">
        <v>45641</v>
      </c>
      <c r="D1089" t="inlineStr">
        <is>
          <t>VÄSTRA GÖTALANDS LÄN</t>
        </is>
      </c>
      <c r="E1089" t="inlineStr">
        <is>
          <t>BENGTSFORS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55922-2024</t>
        </is>
      </c>
      <c r="B1090" s="1" t="n">
        <v>45623</v>
      </c>
      <c r="C1090" s="1" t="n">
        <v>45641</v>
      </c>
      <c r="D1090" t="inlineStr">
        <is>
          <t>VÄSTRA GÖTALANDS LÄN</t>
        </is>
      </c>
      <c r="E1090" t="inlineStr">
        <is>
          <t>BENGTSFORS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56006-2024</t>
        </is>
      </c>
      <c r="B1091" s="1" t="n">
        <v>45623</v>
      </c>
      <c r="C1091" s="1" t="n">
        <v>45641</v>
      </c>
      <c r="D1091" t="inlineStr">
        <is>
          <t>VÄSTRA GÖTALANDS LÄN</t>
        </is>
      </c>
      <c r="E1091" t="inlineStr">
        <is>
          <t>BENGTSFORS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45641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56586-2024</t>
        </is>
      </c>
      <c r="B1093" s="1" t="n">
        <v>45625</v>
      </c>
      <c r="C1093" s="1" t="n">
        <v>45641</v>
      </c>
      <c r="D1093" t="inlineStr">
        <is>
          <t>VÄSTRA GÖTALANDS LÄN</t>
        </is>
      </c>
      <c r="E1093" t="inlineStr">
        <is>
          <t>BENGTSFORS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56967-2024</t>
        </is>
      </c>
      <c r="B1094" s="1" t="n">
        <v>45628</v>
      </c>
      <c r="C1094" s="1" t="n">
        <v>45641</v>
      </c>
      <c r="D1094" t="inlineStr">
        <is>
          <t>VÄSTRA GÖTALANDS LÄN</t>
        </is>
      </c>
      <c r="E1094" t="inlineStr">
        <is>
          <t>BENGTSFORS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45641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57692-2024</t>
        </is>
      </c>
      <c r="B1096" s="1" t="n">
        <v>45630</v>
      </c>
      <c r="C1096" s="1" t="n">
        <v>45641</v>
      </c>
      <c r="D1096" t="inlineStr">
        <is>
          <t>VÄSTRA GÖTALANDS LÄN</t>
        </is>
      </c>
      <c r="E1096" t="inlineStr">
        <is>
          <t>BENGTSFORS</t>
        </is>
      </c>
      <c r="F1096" t="inlineStr">
        <is>
          <t>Kyrkan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57976-2024</t>
        </is>
      </c>
      <c r="B1097" s="1" t="n">
        <v>45631</v>
      </c>
      <c r="C1097" s="1" t="n">
        <v>45641</v>
      </c>
      <c r="D1097" t="inlineStr">
        <is>
          <t>VÄSTRA GÖTALANDS LÄN</t>
        </is>
      </c>
      <c r="E1097" t="inlineStr">
        <is>
          <t>BENGTSFORS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57974-2024</t>
        </is>
      </c>
      <c r="B1098" s="1" t="n">
        <v>45631</v>
      </c>
      <c r="C1098" s="1" t="n">
        <v>45641</v>
      </c>
      <c r="D1098" t="inlineStr">
        <is>
          <t>VÄSTRA GÖTALANDS LÄN</t>
        </is>
      </c>
      <c r="E1098" t="inlineStr">
        <is>
          <t>BENGTSFORS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58158-2024</t>
        </is>
      </c>
      <c r="B1099" s="1" t="n">
        <v>45632</v>
      </c>
      <c r="C1099" s="1" t="n">
        <v>45641</v>
      </c>
      <c r="D1099" t="inlineStr">
        <is>
          <t>VÄSTRA GÖTALANDS LÄN</t>
        </is>
      </c>
      <c r="E1099" t="inlineStr">
        <is>
          <t>BENGTSFORS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58222-2024</t>
        </is>
      </c>
      <c r="B1100" s="1" t="n">
        <v>45632</v>
      </c>
      <c r="C1100" s="1" t="n">
        <v>45641</v>
      </c>
      <c r="D1100" t="inlineStr">
        <is>
          <t>VÄSTRA GÖTALANDS LÄN</t>
        </is>
      </c>
      <c r="E1100" t="inlineStr">
        <is>
          <t>BENGTSFORS</t>
        </is>
      </c>
      <c r="F1100" t="inlineStr">
        <is>
          <t>Kyrkan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58323-2024</t>
        </is>
      </c>
      <c r="B1101" s="1" t="n">
        <v>45632</v>
      </c>
      <c r="C1101" s="1" t="n">
        <v>45641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58377-2024</t>
        </is>
      </c>
      <c r="B1102" s="1" t="n">
        <v>45632</v>
      </c>
      <c r="C1102" s="1" t="n">
        <v>45641</v>
      </c>
      <c r="D1102" t="inlineStr">
        <is>
          <t>VÄSTRA GÖTALANDS LÄN</t>
        </is>
      </c>
      <c r="E1102" t="inlineStr">
        <is>
          <t>BENGTSFORS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58982-2024</t>
        </is>
      </c>
      <c r="B1103" s="1" t="n">
        <v>45636</v>
      </c>
      <c r="C1103" s="1" t="n">
        <v>45641</v>
      </c>
      <c r="D1103" t="inlineStr">
        <is>
          <t>VÄSTRA GÖTALANDS LÄN</t>
        </is>
      </c>
      <c r="E1103" t="inlineStr">
        <is>
          <t>BENGTSFORS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59169-2024</t>
        </is>
      </c>
      <c r="B1104" s="1" t="n">
        <v>45637</v>
      </c>
      <c r="C1104" s="1" t="n">
        <v>45641</v>
      </c>
      <c r="D1104" t="inlineStr">
        <is>
          <t>VÄSTRA GÖTALANDS LÄN</t>
        </is>
      </c>
      <c r="E1104" t="inlineStr">
        <is>
          <t>BENGTSFORS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59155-2024</t>
        </is>
      </c>
      <c r="B1105" s="1" t="n">
        <v>45637</v>
      </c>
      <c r="C1105" s="1" t="n">
        <v>45641</v>
      </c>
      <c r="D1105" t="inlineStr">
        <is>
          <t>VÄSTRA GÖTALANDS LÄN</t>
        </is>
      </c>
      <c r="E1105" t="inlineStr">
        <is>
          <t>BENGTSFORS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59465-2024</t>
        </is>
      </c>
      <c r="B1106" s="1" t="n">
        <v>45638</v>
      </c>
      <c r="C1106" s="1" t="n">
        <v>45641</v>
      </c>
      <c r="D1106" t="inlineStr">
        <is>
          <t>VÄSTRA GÖTALANDS LÄN</t>
        </is>
      </c>
      <c r="E1106" t="inlineStr">
        <is>
          <t>BENGTSFORS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59468-2024</t>
        </is>
      </c>
      <c r="B1107" s="1" t="n">
        <v>45638</v>
      </c>
      <c r="C1107" s="1" t="n">
        <v>45641</v>
      </c>
      <c r="D1107" t="inlineStr">
        <is>
          <t>VÄSTRA GÖTALANDS LÄN</t>
        </is>
      </c>
      <c r="E1107" t="inlineStr">
        <is>
          <t>BENGTSFORS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59621-2024</t>
        </is>
      </c>
      <c r="B1108" s="1" t="n">
        <v>45638</v>
      </c>
      <c r="C1108" s="1" t="n">
        <v>45641</v>
      </c>
      <c r="D1108" t="inlineStr">
        <is>
          <t>VÄSTRA GÖTALANDS LÄN</t>
        </is>
      </c>
      <c r="E1108" t="inlineStr">
        <is>
          <t>BENGTSFORS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59786-2024</t>
        </is>
      </c>
      <c r="B1109" s="1" t="n">
        <v>45639</v>
      </c>
      <c r="C1109" s="1" t="n">
        <v>45641</v>
      </c>
      <c r="D1109" t="inlineStr">
        <is>
          <t>VÄSTRA GÖTALANDS LÄN</t>
        </is>
      </c>
      <c r="E1109" t="inlineStr">
        <is>
          <t>BENGTSFORS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2024-12-15T15:14:35Z</dcterms:created>
  <dcterms:modified xmlns:dcterms="http://purl.org/dc/terms/" xmlns:xsi="http://www.w3.org/2001/XMLSchema-instance" xsi:type="dcterms:W3CDTF">2024-12-15T15:14:36Z</dcterms:modified>
</cp:coreProperties>
</file>