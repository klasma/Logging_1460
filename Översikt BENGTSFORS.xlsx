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45645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60679-2023</t>
        </is>
      </c>
      <c r="B10" s="1" t="n">
        <v>45260</v>
      </c>
      <c r="C10" s="1" t="n">
        <v>45645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13969-2024</t>
        </is>
      </c>
      <c r="B11" s="1" t="n">
        <v>45392</v>
      </c>
      <c r="C11" s="1" t="n">
        <v>45645</v>
      </c>
      <c r="D11" t="inlineStr">
        <is>
          <t>VÄSTRA GÖTALANDS LÄN</t>
        </is>
      </c>
      <c r="E11" t="inlineStr">
        <is>
          <t>BENGTSFORS</t>
        </is>
      </c>
      <c r="G11" t="n">
        <v>8</v>
      </c>
      <c r="H11" t="n">
        <v>6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Mindre hackspett
Spillkråka
Grön sköldmossa
Vedticka
Mattlummer
Revlummer</t>
        </is>
      </c>
      <c r="S11">
        <f>HYPERLINK("https://klasma.github.io/Logging_1460/artfynd/A 13969-2024 artfynd.xlsx", "A 13969-2024")</f>
        <v/>
      </c>
      <c r="T11">
        <f>HYPERLINK("https://klasma.github.io/Logging_1460/kartor/A 13969-2024 karta.png", "A 13969-2024")</f>
        <v/>
      </c>
      <c r="U11">
        <f>HYPERLINK("https://klasma.github.io/Logging_1460/knärot/A 13969-2024 karta knärot.png", "A 13969-2024")</f>
        <v/>
      </c>
      <c r="V11">
        <f>HYPERLINK("https://klasma.github.io/Logging_1460/klagomål/A 13969-2024 FSC-klagomål.docx", "A 13969-2024")</f>
        <v/>
      </c>
      <c r="W11">
        <f>HYPERLINK("https://klasma.github.io/Logging_1460/klagomålsmail/A 13969-2024 FSC-klagomål mail.docx", "A 13969-2024")</f>
        <v/>
      </c>
      <c r="X11">
        <f>HYPERLINK("https://klasma.github.io/Logging_1460/tillsyn/A 13969-2024 tillsynsbegäran.docx", "A 13969-2024")</f>
        <v/>
      </c>
      <c r="Y11">
        <f>HYPERLINK("https://klasma.github.io/Logging_1460/tillsynsmail/A 13969-2024 tillsynsbegäran mail.docx", "A 13969-2024")</f>
        <v/>
      </c>
      <c r="Z11">
        <f>HYPERLINK("https://klasma.github.io/Logging_1460/fåglar/A 13969-2024 prioriterade fågelarter.docx", "A 13969-2024")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45645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45645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45645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45645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45645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45645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45645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45645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45645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45645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45645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45645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45645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45645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45645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45645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45645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45645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45645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45645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45645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45645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45645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45645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45645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45645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45645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45645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45645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45645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45645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45645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45645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45645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45645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45645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45645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45645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45645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45645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45645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45645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45645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45645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45645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45645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45645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45645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45645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45645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45645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45645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45645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45645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45645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45645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45645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45645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45645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45645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45645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45645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45645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45645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45645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45645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45645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45645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45645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45645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45645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45645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45645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45645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45645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45645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45645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45645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45645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45645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45645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45645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45645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45645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45645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45645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45645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45645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45645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45645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45645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45645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45645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45645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45645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45645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45645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45645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45645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45645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45645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45645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45645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45645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45645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45645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45645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45645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45645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45645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45645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45645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45645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45645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45645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45645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45645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45645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45645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45645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45645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45645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45645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45645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45645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45645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45645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45645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45645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45645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45645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45645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45645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45645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45645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45645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45645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45645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45645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45645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45645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45645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45645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45645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45645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45645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45645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45645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45645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45645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45645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45645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45645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45645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45645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45645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45645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45645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45645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45645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45645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45645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45645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45645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45645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45645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45645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45645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45645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45645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45645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45645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45645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45645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45645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45645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45645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45645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45645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45645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45645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45645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45645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45645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45645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45645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45645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45645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45645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45645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45645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45645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45645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45645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45645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45645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45645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45645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45645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45645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45645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45645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45645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45645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45645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45645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45645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45645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45645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45645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45645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45645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45645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45645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45645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45645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45645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45645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45645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45645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45645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45645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45645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45645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45645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45645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45645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45645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45645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45645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45645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45645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45645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45645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45645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45645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45645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45645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45645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45645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45645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45645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45645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45645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45645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45645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45645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45645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45645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45645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45645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45645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45645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45645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45645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45645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45645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45645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45645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45645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45645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45645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45645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45645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45645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45645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45645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45645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45645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45645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45645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45645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45645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45645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45645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45645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45645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45645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45645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45645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45645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45645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45645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45645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45645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45645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45645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45645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45645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45645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45645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45645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45645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45645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45645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45645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45645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45645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45645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45645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45645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45645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45645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45645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45645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45645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45645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45645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45645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45645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45645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45645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45645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45645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45645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45645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45645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45645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45645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45645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45645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45645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45645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45645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45645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45645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45645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45645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45645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45645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45645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45645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45645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45645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45645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45645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45645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45645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45645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45645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45645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45645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45645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45645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45645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45645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45645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45645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45645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45645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45645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45645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45645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45645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45645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45645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45645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45645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45645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45645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45645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45645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45645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45645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45645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45645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45645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45645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45645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45645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45645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45645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45645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45645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45645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45645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45645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45645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45645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45645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45645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45645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45645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45645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45645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45645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45645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45645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45645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45645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45645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45645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45645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45645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45645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45645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45645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45645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45645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45645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45645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45645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45645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45645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45645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45645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45645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45645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45645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45645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45645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45645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45645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45645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45645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45645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45645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45645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45645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45645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45645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45645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45645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45645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45645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45645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45645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45645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45645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45645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45645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45645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45645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45645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45645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45645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45645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45645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45645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45645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45645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45645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45645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45645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45645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45645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45645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45645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45645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45645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45645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45645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45645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45645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45645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45645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45645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45645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45645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45645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45645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45645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45645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45645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45645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45645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45645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45645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45645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45645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45645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45645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45645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45645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45645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45645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45645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45645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45645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45645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45645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45645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45645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45645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45645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45645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45645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45645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45645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45645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45645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45645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45645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45645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45645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45645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45645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45645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45645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45645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45645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45645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45645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45645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45645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45645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45645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45645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45645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45645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45645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45645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45645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45645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45645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45645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45645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45645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45645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45645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45645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45645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45645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45645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45645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45645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45645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45645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45645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45645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45645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45645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45645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45645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45645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45645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45645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45645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45645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45645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45645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45645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45645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45645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45645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45645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45645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45645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45645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45645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45645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45645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45645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45645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45645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45645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45645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45645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45645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45645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45645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45645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45645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45645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45645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45645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45645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45645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45645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45645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45645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45645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45645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45645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45645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45645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45645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45645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45645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45645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45645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45645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45645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45645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45645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45645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45645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45645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45645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45645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45645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45645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45645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45645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45645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45645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45645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45645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45645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45645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45645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45645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45645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45645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45645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45645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45645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45645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45645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45645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45645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45645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45645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45645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45645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45645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45645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45645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45645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45645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45645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45645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45645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45645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45645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45645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45645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45645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45645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45645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45645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45645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45645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45645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45645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45645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45645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45645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45645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45645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45645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45645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45645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45645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45645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45645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45645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45645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45645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45645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45645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45645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45645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45645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45645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45645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45645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45645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45645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45645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45645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45645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45645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45645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45645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45645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45645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45645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45645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45645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45645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45645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45645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45645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45645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45645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45645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45645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45645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45645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45645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45645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45645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45645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45645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45645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45645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45645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45645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45645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45645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45645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45645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45645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45645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45645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45645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45645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45645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45645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45645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45645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45645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45645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45645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45645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45645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45645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45645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45645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45645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45645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45645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45645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45645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45645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45645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45645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45645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45645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45645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45645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45645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45645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45645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45645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45645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45645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45645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45645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45645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45645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45645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45645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45645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45645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45645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45645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45645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45645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45645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45645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45645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45645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45645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45645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45645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45645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45645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45645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45645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45645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45645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45645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45645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45645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45645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45645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45645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45645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45645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45645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45645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45645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45645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45645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45645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45645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45645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45645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45645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45645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45645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45645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45645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45645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45645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45645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45645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45645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45645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45645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45645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45645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45645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45645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45645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45645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45645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45645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45645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45645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45645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45645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45645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45645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45645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45645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45645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45645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45645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45645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45645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45645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45645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45645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45645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45645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45645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45645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45645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45645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45645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45645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45645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45645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45645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45645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45645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45645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45645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45645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45645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45645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45645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45645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45645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45645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45645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45645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45645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45645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45645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45645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45645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45645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45645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45645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45645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45645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45645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45645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45645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45645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45645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45645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45645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45645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45645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45645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45645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45645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45645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45645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45645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45645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45645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45645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45645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45645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45645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45645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45645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45645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45645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45645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45645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45645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45645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45645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45645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45645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45645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45645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45645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45645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45645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45645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45645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45645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45645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45645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45645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45645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45645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45645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45645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45645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45645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45645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45645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45645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45645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45645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45645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45645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45645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45645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55136-2024</t>
        </is>
      </c>
      <c r="B1085" s="1" t="n">
        <v>45621</v>
      </c>
      <c r="C1085" s="1" t="n">
        <v>45645</v>
      </c>
      <c r="D1085" t="inlineStr">
        <is>
          <t>VÄSTRA GÖTALANDS LÄN</t>
        </is>
      </c>
      <c r="E1085" t="inlineStr">
        <is>
          <t>BENGTSFORS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55193-2024</t>
        </is>
      </c>
      <c r="B1086" s="1" t="n">
        <v>45621</v>
      </c>
      <c r="C1086" s="1" t="n">
        <v>45645</v>
      </c>
      <c r="D1086" t="inlineStr">
        <is>
          <t>VÄSTRA GÖTALANDS LÄN</t>
        </is>
      </c>
      <c r="E1086" t="inlineStr">
        <is>
          <t>BENGTSFORS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55208-2024</t>
        </is>
      </c>
      <c r="B1087" s="1" t="n">
        <v>45621</v>
      </c>
      <c r="C1087" s="1" t="n">
        <v>45645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45645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45645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45645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45645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45645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45645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45645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56967-2024</t>
        </is>
      </c>
      <c r="B1095" s="1" t="n">
        <v>45628</v>
      </c>
      <c r="C1095" s="1" t="n">
        <v>45645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45645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45645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45645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45645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45645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45645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45645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45645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45645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45645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45645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45645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45645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45645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45645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45645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45645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60525-2024</t>
        </is>
      </c>
      <c r="B1113" s="1" t="n">
        <v>45643</v>
      </c>
      <c r="C1113" s="1" t="n">
        <v>45645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2024-12-19T14:45:28Z</dcterms:created>
  <dcterms:modified xmlns:dcterms="http://purl.org/dc/terms/" xmlns:xsi="http://www.w3.org/2001/XMLSchema-instance" xsi:type="dcterms:W3CDTF">2024-12-19T14:45:29Z</dcterms:modified>
</cp:coreProperties>
</file>