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6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A 54343-2025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45965</v>
      </c>
      <c r="E2" s="1" t="n">
        <v>46218</v>
      </c>
      <c r="F2" t="inlineStr">
        <is>
          <t>VÄSTRA GÖTALANDS LÄN</t>
        </is>
      </c>
      <c r="G2" t="inlineStr">
        <is>
          <t>BENGTSFORS</t>
        </is>
      </c>
      <c r="I2" t="n">
        <v>7.2</v>
      </c>
      <c r="J2" t="n">
        <v>4</v>
      </c>
      <c r="K2" t="n">
        <v>11</v>
      </c>
      <c r="L2" t="n">
        <v>7</v>
      </c>
      <c r="M2" t="n">
        <v>2</v>
      </c>
      <c r="N2" t="n">
        <v>0</v>
      </c>
      <c r="O2" t="n">
        <v>0</v>
      </c>
      <c r="P2" t="n">
        <v>0</v>
      </c>
      <c r="Q2" t="n">
        <v>9</v>
      </c>
      <c r="R2" t="n">
        <v>2</v>
      </c>
      <c r="S2" t="n">
        <v>24</v>
      </c>
      <c r="T2" t="n">
        <v>72</v>
      </c>
      <c r="U2" s="2" t="inlineStr">
        <is>
          <t>Garnlav
Gränsticka
Dunmossa
Kattfotslav
Motaggsvamp
Tallticka
Ullticka
Vedskivlav
Vedtrappmossa
Barkticka
Kornknutmossa
Platt fjädermossa
Rostfläck
Rödgul trumpetsvamp
Stor revmossa
Thomsons trägnagare
Trind spretmossa
Trådticka
Vedticka
Vågbandad barkbock
Blåsippa
Spillkråka
Tjäder
Kungsfågel</t>
        </is>
      </c>
      <c r="V2">
        <f>HYPERLINK("https://klasma.github.io/Logging_1460/artfynd/A 54343-2025 artfynd.xlsx", "A 54343-2025")</f>
        <v/>
      </c>
      <c r="W2">
        <f>HYPERLINK("https://klasma.github.io/Logging_1460/kartor/A 54343-2025 karta.png", "A 54343-2025")</f>
        <v/>
      </c>
      <c r="Y2">
        <f>HYPERLINK("https://klasma.github.io/Logging_1460/klagomål/A 54343-2025 FSC-klagomål.docx", "A 54343-2025")</f>
        <v/>
      </c>
      <c r="Z2">
        <f>HYPERLINK("https://klasma.github.io/Logging_1460/klagomålsmail/A 54343-2025 FSC-klagomål mail.docx", "A 54343-2025")</f>
        <v/>
      </c>
      <c r="AA2">
        <f>HYPERLINK("https://klasma.github.io/Logging_1460/tillsyn/A 54343-2025 tillsynsbegäran.docx", "A 54343-2025")</f>
        <v/>
      </c>
      <c r="AB2">
        <f>HYPERLINK("https://klasma.github.io/Logging_1460/tillsynsmail/A 54343-2025 tillsynsbegäran mail.docx", "A 54343-2025")</f>
        <v/>
      </c>
      <c r="AC2">
        <f>HYPERLINK("https://klasma.github.io/Logging_1460/fåglar/A 54343-2025 prioriterade fågelarter.docx", "A 54343-2025")</f>
        <v/>
      </c>
    </row>
    <row r="3" ht="15" customHeight="1">
      <c r="A3" t="inlineStr">
        <is>
          <t>A 34258-2023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45138</v>
      </c>
      <c r="E3" s="1" t="n">
        <v>46218</v>
      </c>
      <c r="F3" t="inlineStr">
        <is>
          <t>VÄSTRA GÖTALANDS LÄN</t>
        </is>
      </c>
      <c r="G3" t="inlineStr">
        <is>
          <t>BENGTSFORS</t>
        </is>
      </c>
      <c r="I3" t="n">
        <v>9.800000000000001</v>
      </c>
      <c r="J3" t="n">
        <v>4</v>
      </c>
      <c r="K3" t="n">
        <v>9</v>
      </c>
      <c r="L3" t="n">
        <v>7</v>
      </c>
      <c r="M3" t="n">
        <v>1</v>
      </c>
      <c r="N3" t="n">
        <v>0</v>
      </c>
      <c r="O3" t="n">
        <v>0</v>
      </c>
      <c r="P3" t="n">
        <v>0</v>
      </c>
      <c r="Q3" t="n">
        <v>8</v>
      </c>
      <c r="R3" t="n">
        <v>1</v>
      </c>
      <c r="S3" t="n">
        <v>20</v>
      </c>
      <c r="T3" t="n">
        <v>33</v>
      </c>
      <c r="U3" s="2" t="inlineStr">
        <is>
          <t>Liten hornflikmossa
Oxtungssvamp
Platt spretmossa
Stubbtrådmossa
Talltita
Veckticka
Vedtrappmossa
Vit vedfingersvamp
Blåmossa
Klippfrullania
Korallblylav
Mindre märgborre
Platt fjädermossa
Stubbspretmossa
Trind spretmossa
Vanlig rörsvepemossa
Västlig hakmossa
Blåsippa
Tjäder
Orre</t>
        </is>
      </c>
      <c r="V3">
        <f>HYPERLINK("https://klasma.github.io/Logging_1460/artfynd/A 34258-2023 artfynd.xlsx", "A 34258-2023")</f>
        <v/>
      </c>
      <c r="W3">
        <f>HYPERLINK("https://klasma.github.io/Logging_1460/kartor/A 34258-2023 karta.png", "A 34258-2023")</f>
        <v/>
      </c>
      <c r="Y3">
        <f>HYPERLINK("https://klasma.github.io/Logging_1460/klagomål/A 34258-2023 FSC-klagomål.docx", "A 34258-2023")</f>
        <v/>
      </c>
      <c r="Z3">
        <f>HYPERLINK("https://klasma.github.io/Logging_1460/klagomålsmail/A 34258-2023 FSC-klagomål mail.docx", "A 34258-2023")</f>
        <v/>
      </c>
      <c r="AA3">
        <f>HYPERLINK("https://klasma.github.io/Logging_1460/tillsyn/A 34258-2023 tillsynsbegäran.docx", "A 34258-2023")</f>
        <v/>
      </c>
      <c r="AB3">
        <f>HYPERLINK("https://klasma.github.io/Logging_1460/tillsynsmail/A 34258-2023 tillsynsbegäran mail.docx", "A 34258-2023")</f>
        <v/>
      </c>
      <c r="AC3">
        <f>HYPERLINK("https://klasma.github.io/Logging_1460/fåglar/A 34258-2023 prioriterade fågelarter.docx", "A 34258-2023")</f>
        <v/>
      </c>
    </row>
    <row r="4" ht="15" customHeight="1">
      <c r="A4" t="inlineStr">
        <is>
          <t>A 7086-2025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45701</v>
      </c>
      <c r="E4" s="1" t="n">
        <v>46218</v>
      </c>
      <c r="F4" t="inlineStr">
        <is>
          <t>VÄSTRA GÖTALANDS LÄN</t>
        </is>
      </c>
      <c r="G4" t="inlineStr">
        <is>
          <t>BENGTSFORS</t>
        </is>
      </c>
      <c r="I4" t="n">
        <v>3.6</v>
      </c>
      <c r="J4" t="n">
        <v>3</v>
      </c>
      <c r="K4" t="n">
        <v>10</v>
      </c>
      <c r="L4" t="n">
        <v>6</v>
      </c>
      <c r="M4" t="n">
        <v>1</v>
      </c>
      <c r="N4" t="n">
        <v>0</v>
      </c>
      <c r="O4" t="n">
        <v>0</v>
      </c>
      <c r="P4" t="n">
        <v>0</v>
      </c>
      <c r="Q4" t="n">
        <v>7</v>
      </c>
      <c r="R4" t="n">
        <v>1</v>
      </c>
      <c r="S4" t="n">
        <v>18</v>
      </c>
      <c r="T4" t="n">
        <v>47</v>
      </c>
      <c r="U4" s="2" t="inlineStr">
        <is>
          <t>Hällebräcka
Dropptaggsvamp
Gransotdyna
Skarp dropptaggsvamp
Svart askbastborre
Tallticka
Vedtrappmossa
Granbarkgnagare
Grov baronmossa
Grov fjädermossa
Grön sköldmossa
Grönpyrola
Guldkremla
Guldlockmossa
Kornknutmossa
Platt fjädermossa
Stubbspretmossa
Blåsippa</t>
        </is>
      </c>
      <c r="V4">
        <f>HYPERLINK("https://klasma.github.io/Logging_1460/artfynd/A 7086-2025 artfynd.xlsx", "A 7086-2025")</f>
        <v/>
      </c>
      <c r="W4">
        <f>HYPERLINK("https://klasma.github.io/Logging_1460/kartor/A 7086-2025 karta.png", "A 7086-2025")</f>
        <v/>
      </c>
      <c r="Y4">
        <f>HYPERLINK("https://klasma.github.io/Logging_1460/klagomål/A 7086-2025 FSC-klagomål.docx", "A 7086-2025")</f>
        <v/>
      </c>
      <c r="Z4">
        <f>HYPERLINK("https://klasma.github.io/Logging_1460/klagomålsmail/A 7086-2025 FSC-klagomål mail.docx", "A 7086-2025")</f>
        <v/>
      </c>
      <c r="AA4">
        <f>HYPERLINK("https://klasma.github.io/Logging_1460/tillsyn/A 7086-2025 tillsynsbegäran.docx", "A 7086-2025")</f>
        <v/>
      </c>
      <c r="AB4">
        <f>HYPERLINK("https://klasma.github.io/Logging_1460/tillsynsmail/A 7086-2025 tillsynsbegäran mail.docx", "A 7086-2025")</f>
        <v/>
      </c>
    </row>
    <row r="5" ht="15" customHeight="1">
      <c r="A5" t="inlineStr">
        <is>
          <t>A 40237-2025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45894</v>
      </c>
      <c r="E5" s="1" t="n">
        <v>46218</v>
      </c>
      <c r="F5" t="inlineStr">
        <is>
          <t>VÄSTRA GÖTALANDS LÄN</t>
        </is>
      </c>
      <c r="G5" t="inlineStr">
        <is>
          <t>BENGTSFORS</t>
        </is>
      </c>
      <c r="I5" t="n">
        <v>2.2</v>
      </c>
      <c r="J5" t="n">
        <v>3</v>
      </c>
      <c r="K5" t="n">
        <v>7</v>
      </c>
      <c r="L5" t="n">
        <v>4</v>
      </c>
      <c r="M5" t="n">
        <v>2</v>
      </c>
      <c r="N5" t="n">
        <v>1</v>
      </c>
      <c r="O5" t="n">
        <v>0</v>
      </c>
      <c r="P5" t="n">
        <v>0</v>
      </c>
      <c r="Q5" t="n">
        <v>7</v>
      </c>
      <c r="R5" t="n">
        <v>3</v>
      </c>
      <c r="S5" t="n">
        <v>15</v>
      </c>
      <c r="T5" t="n">
        <v>29</v>
      </c>
      <c r="U5" s="2" t="inlineStr">
        <is>
          <t>Koppartaggsvamp
Hällebräcka
Smalskaftslav
Fjällig taggsvamp s.str.
Gråbrun ängsfingersvamp
Nötkråka
Sårläka
Brun klibbskivling
Grov baronmossa
Guldkremla
Platt fjädermossa
Skinnlav
Svart trolldruva
Svavelriska
Blåsippa</t>
        </is>
      </c>
      <c r="V5">
        <f>HYPERLINK("https://klasma.github.io/Logging_1460/artfynd/A 40237-2025 artfynd.xlsx", "A 40237-2025")</f>
        <v/>
      </c>
      <c r="W5">
        <f>HYPERLINK("https://klasma.github.io/Logging_1460/kartor/A 40237-2025 karta.png", "A 40237-2025")</f>
        <v/>
      </c>
      <c r="Y5">
        <f>HYPERLINK("https://klasma.github.io/Logging_1460/klagomål/A 40237-2025 FSC-klagomål.docx", "A 40237-2025")</f>
        <v/>
      </c>
      <c r="Z5">
        <f>HYPERLINK("https://klasma.github.io/Logging_1460/klagomålsmail/A 40237-2025 FSC-klagomål mail.docx", "A 40237-2025")</f>
        <v/>
      </c>
      <c r="AA5">
        <f>HYPERLINK("https://klasma.github.io/Logging_1460/tillsyn/A 40237-2025 tillsynsbegäran.docx", "A 40237-2025")</f>
        <v/>
      </c>
      <c r="AB5">
        <f>HYPERLINK("https://klasma.github.io/Logging_1460/tillsynsmail/A 40237-2025 tillsynsbegäran mail.docx", "A 40237-2025")</f>
        <v/>
      </c>
      <c r="AC5">
        <f>HYPERLINK("https://klasma.github.io/Logging_1460/fåglar/A 40237-2025 prioriterade fågelarter.docx", "A 40237-2025")</f>
        <v/>
      </c>
    </row>
    <row r="6" ht="15" customHeight="1">
      <c r="A6" t="inlineStr">
        <is>
          <t>A 11036-2025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45723</v>
      </c>
      <c r="E6" s="1" t="n">
        <v>46218</v>
      </c>
      <c r="F6" t="inlineStr">
        <is>
          <t>VÄSTRA GÖTALANDS LÄN</t>
        </is>
      </c>
      <c r="G6" t="inlineStr">
        <is>
          <t>BENGTSFORS</t>
        </is>
      </c>
      <c r="I6" t="n">
        <v>5</v>
      </c>
      <c r="J6" t="n">
        <v>2</v>
      </c>
      <c r="K6" t="n">
        <v>9</v>
      </c>
      <c r="L6" t="n">
        <v>3</v>
      </c>
      <c r="M6" t="n">
        <v>2</v>
      </c>
      <c r="N6" t="n">
        <v>0</v>
      </c>
      <c r="O6" t="n">
        <v>0</v>
      </c>
      <c r="P6" t="n">
        <v>0</v>
      </c>
      <c r="Q6" t="n">
        <v>5</v>
      </c>
      <c r="R6" t="n">
        <v>2</v>
      </c>
      <c r="S6" t="n">
        <v>15</v>
      </c>
      <c r="T6" t="n">
        <v>48</v>
      </c>
      <c r="U6" s="2" t="inlineStr">
        <is>
          <t>Hällebräcka
Trollsmultron
Dropptaggsvamp
Gransotdyna
Vårärt
Grov baronmossa
Grov fjädermossa
Grönpyrola
Guldlockmossa
Platt fjädermossa
Stubbspretmossa
Svavelriska
Trubbfjädermossa
Vågbandad barkbock
Blåsippa</t>
        </is>
      </c>
      <c r="V6">
        <f>HYPERLINK("https://klasma.github.io/Logging_1460/artfynd/A 11036-2025 artfynd.xlsx", "A 11036-2025")</f>
        <v/>
      </c>
      <c r="W6">
        <f>HYPERLINK("https://klasma.github.io/Logging_1460/kartor/A 11036-2025 karta.png", "A 11036-2025")</f>
        <v/>
      </c>
      <c r="Y6">
        <f>HYPERLINK("https://klasma.github.io/Logging_1460/klagomål/A 11036-2025 FSC-klagomål.docx", "A 11036-2025")</f>
        <v/>
      </c>
      <c r="Z6">
        <f>HYPERLINK("https://klasma.github.io/Logging_1460/klagomålsmail/A 11036-2025 FSC-klagomål mail.docx", "A 11036-2025")</f>
        <v/>
      </c>
      <c r="AA6">
        <f>HYPERLINK("https://klasma.github.io/Logging_1460/tillsyn/A 11036-2025 tillsynsbegäran.docx", "A 11036-2025")</f>
        <v/>
      </c>
      <c r="AB6">
        <f>HYPERLINK("https://klasma.github.io/Logging_1460/tillsynsmail/A 11036-2025 tillsynsbegäran mail.docx", "A 11036-2025")</f>
        <v/>
      </c>
    </row>
    <row r="7" ht="15" customHeight="1">
      <c r="A7" t="inlineStr">
        <is>
          <t>A 9465-2026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46071</v>
      </c>
      <c r="E7" s="1" t="n">
        <v>46218</v>
      </c>
      <c r="F7" t="inlineStr">
        <is>
          <t>VÄSTRA GÖTALANDS LÄN</t>
        </is>
      </c>
      <c r="G7" t="inlineStr">
        <is>
          <t>BENGTSFORS</t>
        </is>
      </c>
      <c r="I7" t="n">
        <v>21.6</v>
      </c>
      <c r="J7" t="n">
        <v>7</v>
      </c>
      <c r="K7" t="n">
        <v>1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14</v>
      </c>
      <c r="T7" t="n">
        <v>47</v>
      </c>
      <c r="U7" s="2" t="inlineStr">
        <is>
          <t>Talltita
Vedtrappmossa
Västlig hakmossa
Blåbär
Blåsippa
Fönsterlav
Grå renlav
Kransmossa
Linnea
Mattlummer
Spillkråka
Tjäder
Tofsmes
Revlummer</t>
        </is>
      </c>
      <c r="V7">
        <f>HYPERLINK("https://klasma.github.io/Logging_1460/artfynd/A 9465-2026 artfynd.xlsx", "A 9465-2026")</f>
        <v/>
      </c>
      <c r="W7">
        <f>HYPERLINK("https://klasma.github.io/Logging_1460/kartor/A 9465-2026 karta.png", "A 9465-2026")</f>
        <v/>
      </c>
      <c r="Y7">
        <f>HYPERLINK("https://klasma.github.io/Logging_1460/klagomål/A 9465-2026 FSC-klagomål.docx", "A 9465-2026")</f>
        <v/>
      </c>
      <c r="Z7">
        <f>HYPERLINK("https://klasma.github.io/Logging_1460/klagomålsmail/A 9465-2026 FSC-klagomål mail.docx", "A 9465-2026")</f>
        <v/>
      </c>
      <c r="AA7">
        <f>HYPERLINK("https://klasma.github.io/Logging_1460/tillsyn/A 9465-2026 tillsynsbegäran.docx", "A 9465-2026")</f>
        <v/>
      </c>
      <c r="AB7">
        <f>HYPERLINK("https://klasma.github.io/Logging_1460/tillsynsmail/A 9465-2026 tillsynsbegäran mail.docx", "A 9465-2026")</f>
        <v/>
      </c>
      <c r="AC7">
        <f>HYPERLINK("https://klasma.github.io/Logging_1460/fåglar/A 9465-2026 prioriterade fågelarter.docx", "A 9465-2026")</f>
        <v/>
      </c>
    </row>
    <row r="8" ht="15" customHeight="1">
      <c r="A8" t="inlineStr">
        <is>
          <t>A 23933-2026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46167</v>
      </c>
      <c r="E8" s="1" t="n">
        <v>46218</v>
      </c>
      <c r="F8" t="inlineStr">
        <is>
          <t>VÄSTRA GÖTALANDS LÄN</t>
        </is>
      </c>
      <c r="G8" t="inlineStr">
        <is>
          <t>BENGTSFORS</t>
        </is>
      </c>
      <c r="I8" t="n">
        <v>0.7</v>
      </c>
      <c r="J8" t="n">
        <v>2</v>
      </c>
      <c r="K8" t="n">
        <v>3</v>
      </c>
      <c r="L8" t="n">
        <v>2</v>
      </c>
      <c r="M8" t="n">
        <v>1</v>
      </c>
      <c r="N8" t="n">
        <v>1</v>
      </c>
      <c r="O8" t="n">
        <v>0</v>
      </c>
      <c r="P8" t="n">
        <v>0</v>
      </c>
      <c r="Q8" t="n">
        <v>4</v>
      </c>
      <c r="R8" t="n">
        <v>2</v>
      </c>
      <c r="S8" t="n">
        <v>13</v>
      </c>
      <c r="T8" t="n">
        <v>22</v>
      </c>
      <c r="U8" s="2" t="inlineStr">
        <is>
          <t>Ask
Stor skogsbäckmossa
Drillsnäppa
Dunmossa
Blåsfliksmossa
Stubbspretmossa
Svart trolldruva
Blåsippa
Hultbräken
Kransmossa
Källgräsmossa
Skärmstarr
Vitsippa</t>
        </is>
      </c>
      <c r="V8">
        <f>HYPERLINK("https://klasma.github.io/Logging_1460/artfynd/A 23933-2026 artfynd.xlsx", "A 23933-2026")</f>
        <v/>
      </c>
      <c r="W8">
        <f>HYPERLINK("https://klasma.github.io/Logging_1460/kartor/A 23933-2026 karta.png", "A 23933-2026")</f>
        <v/>
      </c>
      <c r="Y8">
        <f>HYPERLINK("https://klasma.github.io/Logging_1460/klagomål/A 23933-2026 FSC-klagomål.docx", "A 23933-2026")</f>
        <v/>
      </c>
      <c r="Z8">
        <f>HYPERLINK("https://klasma.github.io/Logging_1460/klagomålsmail/A 23933-2026 FSC-klagomål mail.docx", "A 23933-2026")</f>
        <v/>
      </c>
      <c r="AA8">
        <f>HYPERLINK("https://klasma.github.io/Logging_1460/tillsyn/A 23933-2026 tillsynsbegäran.docx", "A 23933-2026")</f>
        <v/>
      </c>
      <c r="AB8">
        <f>HYPERLINK("https://klasma.github.io/Logging_1460/tillsynsmail/A 23933-2026 tillsynsbegäran mail.docx", "A 23933-2026")</f>
        <v/>
      </c>
      <c r="AC8">
        <f>HYPERLINK("https://klasma.github.io/Logging_1460/fåglar/A 23933-2026 prioriterade fågelarter.docx", "A 23933-2026")</f>
        <v/>
      </c>
    </row>
    <row r="9" ht="15" customHeight="1">
      <c r="A9" t="inlineStr">
        <is>
          <t>A 9166-2022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44615</v>
      </c>
      <c r="E9" s="1" t="n">
        <v>46218</v>
      </c>
      <c r="F9" t="inlineStr">
        <is>
          <t>VÄSTRA GÖTALANDS LÄN</t>
        </is>
      </c>
      <c r="G9" t="inlineStr">
        <is>
          <t>BENGTSFORS</t>
        </is>
      </c>
      <c r="I9" t="n">
        <v>9.1</v>
      </c>
      <c r="J9" t="n">
        <v>2</v>
      </c>
      <c r="K9" t="n">
        <v>5</v>
      </c>
      <c r="L9" t="n">
        <v>5</v>
      </c>
      <c r="M9" t="n">
        <v>0</v>
      </c>
      <c r="N9" t="n">
        <v>0</v>
      </c>
      <c r="O9" t="n">
        <v>0</v>
      </c>
      <c r="P9" t="n">
        <v>0</v>
      </c>
      <c r="Q9" t="n">
        <v>5</v>
      </c>
      <c r="R9" t="n">
        <v>0</v>
      </c>
      <c r="S9" t="n">
        <v>12</v>
      </c>
      <c r="T9" t="n">
        <v>46</v>
      </c>
      <c r="U9" s="2" t="inlineStr">
        <is>
          <t>Dropptaggsvamp
Kolflarnlav
Kortskaftad ärgspik
Tallticka
Vedtrappmossa
Blåmossa
Bronshjon
Mindre märgborre
Rostfläck
Vedticka
Spillkråka
Tjäder</t>
        </is>
      </c>
      <c r="V9">
        <f>HYPERLINK("https://klasma.github.io/Logging_1460/artfynd/A 9166-2022 artfynd.xlsx", "A 9166-2022")</f>
        <v/>
      </c>
      <c r="W9">
        <f>HYPERLINK("https://klasma.github.io/Logging_1460/kartor/A 9166-2022 karta.png", "A 9166-2022")</f>
        <v/>
      </c>
      <c r="Y9">
        <f>HYPERLINK("https://klasma.github.io/Logging_1460/klagomål/A 9166-2022 FSC-klagomål.docx", "A 9166-2022")</f>
        <v/>
      </c>
      <c r="Z9">
        <f>HYPERLINK("https://klasma.github.io/Logging_1460/klagomålsmail/A 9166-2022 FSC-klagomål mail.docx", "A 9166-2022")</f>
        <v/>
      </c>
      <c r="AA9">
        <f>HYPERLINK("https://klasma.github.io/Logging_1460/tillsyn/A 9166-2022 tillsynsbegäran.docx", "A 9166-2022")</f>
        <v/>
      </c>
      <c r="AB9">
        <f>HYPERLINK("https://klasma.github.io/Logging_1460/tillsynsmail/A 9166-2022 tillsynsbegäran mail.docx", "A 9166-2022")</f>
        <v/>
      </c>
      <c r="AC9">
        <f>HYPERLINK("https://klasma.github.io/Logging_1460/fåglar/A 9166-2022 prioriterade fågelarter.docx", "A 9166-2022")</f>
        <v/>
      </c>
    </row>
    <row r="10" ht="15" customHeight="1">
      <c r="A10" t="inlineStr">
        <is>
          <t>A 9460-2026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46071</v>
      </c>
      <c r="E10" s="1" t="n">
        <v>46218</v>
      </c>
      <c r="F10" t="inlineStr">
        <is>
          <t>VÄSTRA GÖTALANDS LÄN</t>
        </is>
      </c>
      <c r="G10" t="inlineStr">
        <is>
          <t>BENGTSFORS</t>
        </is>
      </c>
      <c r="I10" t="n">
        <v>12.1</v>
      </c>
      <c r="J10" t="n">
        <v>6</v>
      </c>
      <c r="K10" t="n">
        <v>1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12</v>
      </c>
      <c r="T10" t="n">
        <v>33</v>
      </c>
      <c r="U10" s="2" t="inlineStr">
        <is>
          <t>Talltita
Västlig hakmossa
Blåbär
Blåsippa
Fönsterlav
Grå renlav
Kransmossa
Linnea
Spillkråka
Tofsmes
Kungsfågel
Revlummer</t>
        </is>
      </c>
      <c r="V10">
        <f>HYPERLINK("https://klasma.github.io/Logging_1460/artfynd/A 9460-2026 artfynd.xlsx", "A 9460-2026")</f>
        <v/>
      </c>
      <c r="W10">
        <f>HYPERLINK("https://klasma.github.io/Logging_1460/kartor/A 9460-2026 karta.png", "A 9460-2026")</f>
        <v/>
      </c>
      <c r="Y10">
        <f>HYPERLINK("https://klasma.github.io/Logging_1460/klagomål/A 9460-2026 FSC-klagomål.docx", "A 9460-2026")</f>
        <v/>
      </c>
      <c r="Z10">
        <f>HYPERLINK("https://klasma.github.io/Logging_1460/klagomålsmail/A 9460-2026 FSC-klagomål mail.docx", "A 9460-2026")</f>
        <v/>
      </c>
      <c r="AA10">
        <f>HYPERLINK("https://klasma.github.io/Logging_1460/tillsyn/A 9460-2026 tillsynsbegäran.docx", "A 9460-2026")</f>
        <v/>
      </c>
      <c r="AB10">
        <f>HYPERLINK("https://klasma.github.io/Logging_1460/tillsynsmail/A 9460-2026 tillsynsbegäran mail.docx", "A 9460-2026")</f>
        <v/>
      </c>
      <c r="AC10">
        <f>HYPERLINK("https://klasma.github.io/Logging_1460/fåglar/A 9460-2026 prioriterade fågelarter.docx", "A 9460-2026")</f>
        <v/>
      </c>
    </row>
    <row r="11" ht="15" customHeight="1">
      <c r="A11" t="inlineStr">
        <is>
          <t>A 13065-2026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46093</v>
      </c>
      <c r="E11" s="1" t="n">
        <v>46218</v>
      </c>
      <c r="F11" t="inlineStr">
        <is>
          <t>VÄSTRA GÖTALANDS LÄN</t>
        </is>
      </c>
      <c r="G11" t="inlineStr">
        <is>
          <t>BENGTSFORS</t>
        </is>
      </c>
      <c r="H11" t="inlineStr">
        <is>
          <t>Bergvik skog väst AB</t>
        </is>
      </c>
      <c r="I11" t="n">
        <v>0.8</v>
      </c>
      <c r="J11" t="n">
        <v>2</v>
      </c>
      <c r="K11" t="n">
        <v>6</v>
      </c>
      <c r="L11" t="n">
        <v>4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t="n">
        <v>0</v>
      </c>
      <c r="S11" t="n">
        <v>12</v>
      </c>
      <c r="T11" t="n">
        <v>19</v>
      </c>
      <c r="U11" s="2" t="inlineStr">
        <is>
          <t>Dunmossa
Flikbålmossa
Platt spretmossa
Vedtrappmossa
Bågpraktmossa
Mörk husmossa
Skogshakmossa
Stor revmossa
Terpentinmossa
Vanlig rörsvepemossa
Mattlummer
Tjäder</t>
        </is>
      </c>
      <c r="V11">
        <f>HYPERLINK("https://klasma.github.io/Logging_1460/artfynd/A 13065-2026 artfynd.xlsx", "A 13065-2026")</f>
        <v/>
      </c>
      <c r="W11">
        <f>HYPERLINK("https://klasma.github.io/Logging_1460/kartor/A 13065-2026 karta.png", "A 13065-2026")</f>
        <v/>
      </c>
      <c r="Y11">
        <f>HYPERLINK("https://klasma.github.io/Logging_1460/klagomål/A 13065-2026 FSC-klagomål.docx", "A 13065-2026")</f>
        <v/>
      </c>
      <c r="Z11">
        <f>HYPERLINK("https://klasma.github.io/Logging_1460/klagomålsmail/A 13065-2026 FSC-klagomål mail.docx", "A 13065-2026")</f>
        <v/>
      </c>
      <c r="AA11">
        <f>HYPERLINK("https://klasma.github.io/Logging_1460/tillsyn/A 13065-2026 tillsynsbegäran.docx", "A 13065-2026")</f>
        <v/>
      </c>
      <c r="AB11">
        <f>HYPERLINK("https://klasma.github.io/Logging_1460/tillsynsmail/A 13065-2026 tillsynsbegäran mail.docx", "A 13065-2026")</f>
        <v/>
      </c>
      <c r="AC11">
        <f>HYPERLINK("https://klasma.github.io/Logging_1460/fåglar/A 13065-2026 prioriterade fågelarter.docx", "A 13065-2026")</f>
        <v/>
      </c>
    </row>
    <row r="12" ht="15" customHeight="1">
      <c r="A12" t="inlineStr">
        <is>
          <t>A 49914-2021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44455</v>
      </c>
      <c r="E12" s="1" t="n">
        <v>46218</v>
      </c>
      <c r="F12" t="inlineStr">
        <is>
          <t>VÄSTRA GÖTALANDS LÄN</t>
        </is>
      </c>
      <c r="G12" t="inlineStr">
        <is>
          <t>BENGTSFORS</t>
        </is>
      </c>
      <c r="I12" t="n">
        <v>10</v>
      </c>
      <c r="J12" t="n">
        <v>0</v>
      </c>
      <c r="K12" t="n">
        <v>8</v>
      </c>
      <c r="L12" t="n">
        <v>3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t="n">
        <v>0</v>
      </c>
      <c r="S12" t="n">
        <v>11</v>
      </c>
      <c r="T12" t="n">
        <v>13</v>
      </c>
      <c r="U12" s="2" t="inlineStr">
        <is>
          <t>Skogstrappmossa
Vedflikmossa
Vedtrappmossa
Blåsfliksmossa
Fällmossa
Guldlockmossa
Klippfrullania
Platt fjädermossa
Purpurmylia
Stor revmossa
Västlig hakmossa</t>
        </is>
      </c>
      <c r="V12">
        <f>HYPERLINK("https://klasma.github.io/Logging_1460/artfynd/A 49914-2021 artfynd.xlsx", "A 49914-2021")</f>
        <v/>
      </c>
      <c r="W12">
        <f>HYPERLINK("https://klasma.github.io/Logging_1460/kartor/A 49914-2021 karta.png", "A 49914-2021")</f>
        <v/>
      </c>
      <c r="Y12">
        <f>HYPERLINK("https://klasma.github.io/Logging_1460/klagomål/A 49914-2021 FSC-klagomål.docx", "A 49914-2021")</f>
        <v/>
      </c>
      <c r="Z12">
        <f>HYPERLINK("https://klasma.github.io/Logging_1460/klagomålsmail/A 49914-2021 FSC-klagomål mail.docx", "A 49914-2021")</f>
        <v/>
      </c>
      <c r="AA12">
        <f>HYPERLINK("https://klasma.github.io/Logging_1460/tillsyn/A 49914-2021 tillsynsbegäran.docx", "A 49914-2021")</f>
        <v/>
      </c>
      <c r="AB12">
        <f>HYPERLINK("https://klasma.github.io/Logging_1460/tillsynsmail/A 49914-2021 tillsynsbegäran mail.docx", "A 49914-2021")</f>
        <v/>
      </c>
    </row>
    <row r="13" ht="15" customHeight="1">
      <c r="A13" t="inlineStr">
        <is>
          <t>A 63067-2021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44505</v>
      </c>
      <c r="E13" s="1" t="n">
        <v>46218</v>
      </c>
      <c r="F13" t="inlineStr">
        <is>
          <t>VÄSTRA GÖTALANDS LÄN</t>
        </is>
      </c>
      <c r="G13" t="inlineStr">
        <is>
          <t>BENGTSFORS</t>
        </is>
      </c>
      <c r="I13" t="n">
        <v>14</v>
      </c>
      <c r="J13" t="n">
        <v>9</v>
      </c>
      <c r="K13" t="n">
        <v>0</v>
      </c>
      <c r="L13" t="n">
        <v>2</v>
      </c>
      <c r="M13" t="n">
        <v>2</v>
      </c>
      <c r="N13" t="n">
        <v>0</v>
      </c>
      <c r="O13" t="n">
        <v>0</v>
      </c>
      <c r="P13" t="n">
        <v>0</v>
      </c>
      <c r="Q13" t="n">
        <v>4</v>
      </c>
      <c r="R13" t="n">
        <v>2</v>
      </c>
      <c r="S13" t="n">
        <v>9</v>
      </c>
      <c r="T13" t="n">
        <v>12</v>
      </c>
      <c r="U13" s="2" t="inlineStr">
        <is>
          <t>Pilgrimsfalk
Tornseglare
Duvhök
Ladusvala
Buskskvätta
Grönsiska
Trana
Törnskata
Ärtsångare</t>
        </is>
      </c>
      <c r="V13">
        <f>HYPERLINK("https://klasma.github.io/Logging_1460/artfynd/A 63067-2021 artfynd.xlsx", "A 63067-2021")</f>
        <v/>
      </c>
      <c r="W13">
        <f>HYPERLINK("https://klasma.github.io/Logging_1460/kartor/A 63067-2021 karta.png", "A 63067-2021")</f>
        <v/>
      </c>
      <c r="Y13">
        <f>HYPERLINK("https://klasma.github.io/Logging_1460/klagomål/A 63067-2021 FSC-klagomål.docx", "A 63067-2021")</f>
        <v/>
      </c>
      <c r="Z13">
        <f>HYPERLINK("https://klasma.github.io/Logging_1460/klagomålsmail/A 63067-2021 FSC-klagomål mail.docx", "A 63067-2021")</f>
        <v/>
      </c>
      <c r="AA13">
        <f>HYPERLINK("https://klasma.github.io/Logging_1460/tillsyn/A 63067-2021 tillsynsbegäran.docx", "A 63067-2021")</f>
        <v/>
      </c>
      <c r="AB13">
        <f>HYPERLINK("https://klasma.github.io/Logging_1460/tillsynsmail/A 63067-2021 tillsynsbegäran mail.docx", "A 63067-2021")</f>
        <v/>
      </c>
      <c r="AC13">
        <f>HYPERLINK("https://klasma.github.io/Logging_1460/fåglar/A 63067-2021 prioriterade fågelarter.docx", "A 63067-2021")</f>
        <v/>
      </c>
    </row>
    <row r="14" ht="15" customHeight="1">
      <c r="A14" t="inlineStr">
        <is>
          <t>A 44809-2021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44438</v>
      </c>
      <c r="E14" s="1" t="n">
        <v>46218</v>
      </c>
      <c r="F14" t="inlineStr">
        <is>
          <t>VÄSTRA GÖTALANDS LÄN</t>
        </is>
      </c>
      <c r="G14" t="inlineStr">
        <is>
          <t>BENGTSFORS</t>
        </is>
      </c>
      <c r="I14" t="n">
        <v>37.8</v>
      </c>
      <c r="J14" t="n">
        <v>6</v>
      </c>
      <c r="K14" t="n">
        <v>1</v>
      </c>
      <c r="L14" t="n">
        <v>4</v>
      </c>
      <c r="M14" t="n">
        <v>0</v>
      </c>
      <c r="N14" t="n">
        <v>0</v>
      </c>
      <c r="O14" t="n">
        <v>0</v>
      </c>
      <c r="P14" t="n">
        <v>0</v>
      </c>
      <c r="Q14" t="n">
        <v>4</v>
      </c>
      <c r="R14" t="n">
        <v>0</v>
      </c>
      <c r="S14" t="n">
        <v>8</v>
      </c>
      <c r="T14" t="n">
        <v>11</v>
      </c>
      <c r="U14" s="2" t="inlineStr">
        <is>
          <t>Fjällig taggsvamp s.str.
Mindre hackspett
Talltita
Tretåig hackspett
Platt fjädermossa
Blåsippa
Spillkråka
Vanlig padda</t>
        </is>
      </c>
      <c r="V14">
        <f>HYPERLINK("https://klasma.github.io/Logging_1460/artfynd/A 44809-2021 artfynd.xlsx", "A 44809-2021")</f>
        <v/>
      </c>
      <c r="W14">
        <f>HYPERLINK("https://klasma.github.io/Logging_1460/kartor/A 44809-2021 karta.png", "A 44809-2021")</f>
        <v/>
      </c>
      <c r="Y14">
        <f>HYPERLINK("https://klasma.github.io/Logging_1460/klagomål/A 44809-2021 FSC-klagomål.docx", "A 44809-2021")</f>
        <v/>
      </c>
      <c r="Z14">
        <f>HYPERLINK("https://klasma.github.io/Logging_1460/klagomålsmail/A 44809-2021 FSC-klagomål mail.docx", "A 44809-2021")</f>
        <v/>
      </c>
      <c r="AA14">
        <f>HYPERLINK("https://klasma.github.io/Logging_1460/tillsyn/A 44809-2021 tillsynsbegäran.docx", "A 44809-2021")</f>
        <v/>
      </c>
      <c r="AB14">
        <f>HYPERLINK("https://klasma.github.io/Logging_1460/tillsynsmail/A 44809-2021 tillsynsbegäran mail.docx", "A 44809-2021")</f>
        <v/>
      </c>
      <c r="AC14">
        <f>HYPERLINK("https://klasma.github.io/Logging_1460/fåglar/A 44809-2021 prioriterade fågelarter.docx", "A 44809-2021")</f>
        <v/>
      </c>
    </row>
    <row r="15" ht="15" customHeight="1">
      <c r="A15" t="inlineStr">
        <is>
          <t>A 39996-2025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45891</v>
      </c>
      <c r="E15" s="1" t="n">
        <v>46218</v>
      </c>
      <c r="F15" t="inlineStr">
        <is>
          <t>VÄSTRA GÖTALANDS LÄN</t>
        </is>
      </c>
      <c r="G15" t="inlineStr">
        <is>
          <t>BENGTSFORS</t>
        </is>
      </c>
      <c r="H15" t="inlineStr">
        <is>
          <t>Övriga Aktiebolag</t>
        </is>
      </c>
      <c r="I15" t="n">
        <v>2.9</v>
      </c>
      <c r="J15" t="n">
        <v>0</v>
      </c>
      <c r="K15" t="n">
        <v>5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8</v>
      </c>
      <c r="T15" t="n">
        <v>12</v>
      </c>
      <c r="U15" s="2" t="inlineStr">
        <is>
          <t>Blåsfliksmossa
Grov fjädermossa
Platt fjädermossa
Stenporella
Västlig hakmossa
Bandpraktmossa
Kransmossa
Krushättemossa</t>
        </is>
      </c>
      <c r="V15">
        <f>HYPERLINK("https://klasma.github.io/Logging_1460/artfynd/A 39996-2025 artfynd.xlsx", "A 39996-2025")</f>
        <v/>
      </c>
      <c r="W15">
        <f>HYPERLINK("https://klasma.github.io/Logging_1460/kartor/A 39996-2025 karta.png", "A 39996-2025")</f>
        <v/>
      </c>
      <c r="Y15">
        <f>HYPERLINK("https://klasma.github.io/Logging_1460/klagomål/A 39996-2025 FSC-klagomål.docx", "A 39996-2025")</f>
        <v/>
      </c>
      <c r="Z15">
        <f>HYPERLINK("https://klasma.github.io/Logging_1460/klagomålsmail/A 39996-2025 FSC-klagomål mail.docx", "A 39996-2025")</f>
        <v/>
      </c>
      <c r="AA15">
        <f>HYPERLINK("https://klasma.github.io/Logging_1460/tillsyn/A 39996-2025 tillsynsbegäran.docx", "A 39996-2025")</f>
        <v/>
      </c>
      <c r="AB15">
        <f>HYPERLINK("https://klasma.github.io/Logging_1460/tillsynsmail/A 39996-2025 tillsynsbegäran mail.docx", "A 39996-2025")</f>
        <v/>
      </c>
    </row>
    <row r="16" ht="15" customHeight="1">
      <c r="A16" t="inlineStr">
        <is>
          <t>A 13969-2024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45392</v>
      </c>
      <c r="E16" s="1" t="n">
        <v>46218</v>
      </c>
      <c r="F16" t="inlineStr">
        <is>
          <t>VÄSTRA GÖTALANDS LÄN</t>
        </is>
      </c>
      <c r="G16" t="inlineStr">
        <is>
          <t>BENGTSFORS</t>
        </is>
      </c>
      <c r="I16" t="n">
        <v>8</v>
      </c>
      <c r="J16" t="n">
        <v>6</v>
      </c>
      <c r="K16" t="n">
        <v>2</v>
      </c>
      <c r="L16" t="n">
        <v>2</v>
      </c>
      <c r="M16" t="n">
        <v>1</v>
      </c>
      <c r="N16" t="n">
        <v>0</v>
      </c>
      <c r="O16" t="n">
        <v>0</v>
      </c>
      <c r="P16" t="n">
        <v>0</v>
      </c>
      <c r="Q16" t="n">
        <v>3</v>
      </c>
      <c r="R16" t="n">
        <v>1</v>
      </c>
      <c r="S16" t="n">
        <v>8</v>
      </c>
      <c r="T16" t="n">
        <v>24</v>
      </c>
      <c r="U16" s="2" t="inlineStr">
        <is>
          <t>Knärot
Kådvaxskinn
Mindre hackspett
Grön sköldmossa
Vedticka
Mattlummer
Spillkråka
Revlummer</t>
        </is>
      </c>
      <c r="V16">
        <f>HYPERLINK("https://klasma.github.io/Logging_1460/artfynd/A 13969-2024 artfynd.xlsx", "A 13969-2024")</f>
        <v/>
      </c>
      <c r="W16">
        <f>HYPERLINK("https://klasma.github.io/Logging_1460/kartor/A 13969-2024 karta.png", "A 13969-2024")</f>
        <v/>
      </c>
      <c r="X16">
        <f>HYPERLINK("https://klasma.github.io/Logging_1460/knärot/A 13969-2024 karta knärot.png", "A 13969-2024")</f>
        <v/>
      </c>
      <c r="Y16">
        <f>HYPERLINK("https://klasma.github.io/Logging_1460/klagomål/A 13969-2024 FSC-klagomål.docx", "A 13969-2024")</f>
        <v/>
      </c>
      <c r="Z16">
        <f>HYPERLINK("https://klasma.github.io/Logging_1460/klagomålsmail/A 13969-2024 FSC-klagomål mail.docx", "A 13969-2024")</f>
        <v/>
      </c>
      <c r="AA16">
        <f>HYPERLINK("https://klasma.github.io/Logging_1460/tillsyn/A 13969-2024 tillsynsbegäran.docx", "A 13969-2024")</f>
        <v/>
      </c>
      <c r="AB16">
        <f>HYPERLINK("https://klasma.github.io/Logging_1460/tillsynsmail/A 13969-2024 tillsynsbegäran mail.docx", "A 13969-2024")</f>
        <v/>
      </c>
      <c r="AC16">
        <f>HYPERLINK("https://klasma.github.io/Logging_1460/fåglar/A 13969-2024 prioriterade fågelarter.docx", "A 13969-2024")</f>
        <v/>
      </c>
    </row>
    <row r="17" ht="15" customHeight="1">
      <c r="A17" t="inlineStr">
        <is>
          <t>A 60679-2023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45260</v>
      </c>
      <c r="E17" s="1" t="n">
        <v>46218</v>
      </c>
      <c r="F17" t="inlineStr">
        <is>
          <t>VÄSTRA GÖTALANDS LÄN</t>
        </is>
      </c>
      <c r="G17" t="inlineStr">
        <is>
          <t>BENGTSFORS</t>
        </is>
      </c>
      <c r="I17" t="n">
        <v>2.2</v>
      </c>
      <c r="J17" t="n">
        <v>0</v>
      </c>
      <c r="K17" t="n">
        <v>6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7</v>
      </c>
      <c r="T17" t="n">
        <v>8</v>
      </c>
      <c r="U17" s="2" t="inlineStr">
        <is>
          <t>Kortskaftad ärgspik
Bronshjon
Grönpyrola
Klippfrullania
Platt fjädermossa
Rävticka
Vedticka</t>
        </is>
      </c>
      <c r="V17">
        <f>HYPERLINK("https://klasma.github.io/Logging_1460/artfynd/A 60679-2023 artfynd.xlsx", "A 60679-2023")</f>
        <v/>
      </c>
      <c r="W17">
        <f>HYPERLINK("https://klasma.github.io/Logging_1460/kartor/A 60679-2023 karta.png", "A 60679-2023")</f>
        <v/>
      </c>
      <c r="Y17">
        <f>HYPERLINK("https://klasma.github.io/Logging_1460/klagomål/A 60679-2023 FSC-klagomål.docx", "A 60679-2023")</f>
        <v/>
      </c>
      <c r="Z17">
        <f>HYPERLINK("https://klasma.github.io/Logging_1460/klagomålsmail/A 60679-2023 FSC-klagomål mail.docx", "A 60679-2023")</f>
        <v/>
      </c>
      <c r="AA17">
        <f>HYPERLINK("https://klasma.github.io/Logging_1460/tillsyn/A 60679-2023 tillsynsbegäran.docx", "A 60679-2023")</f>
        <v/>
      </c>
      <c r="AB17">
        <f>HYPERLINK("https://klasma.github.io/Logging_1460/tillsynsmail/A 60679-2023 tillsynsbegäran mail.docx", "A 60679-2023")</f>
        <v/>
      </c>
    </row>
    <row r="18" ht="15" customHeight="1">
      <c r="A18" t="inlineStr">
        <is>
          <t>A 273-2026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46027</v>
      </c>
      <c r="E18" s="1" t="n">
        <v>46218</v>
      </c>
      <c r="F18" t="inlineStr">
        <is>
          <t>VÄSTRA GÖTALANDS LÄN</t>
        </is>
      </c>
      <c r="G18" t="inlineStr">
        <is>
          <t>BENGTSFORS</t>
        </is>
      </c>
      <c r="I18" t="n">
        <v>9.199999999999999</v>
      </c>
      <c r="J18" t="n">
        <v>4</v>
      </c>
      <c r="K18" t="n">
        <v>0</v>
      </c>
      <c r="L18" t="n">
        <v>3</v>
      </c>
      <c r="M18" t="n">
        <v>1</v>
      </c>
      <c r="N18" t="n">
        <v>0</v>
      </c>
      <c r="O18" t="n">
        <v>0</v>
      </c>
      <c r="P18" t="n">
        <v>0</v>
      </c>
      <c r="Q18" t="n">
        <v>4</v>
      </c>
      <c r="R18" t="n">
        <v>1</v>
      </c>
      <c r="S18" t="n">
        <v>7</v>
      </c>
      <c r="T18" t="n">
        <v>18</v>
      </c>
      <c r="U18" s="2" t="inlineStr">
        <is>
          <t>Knärot
Kattfotslav
Motaggsvamp
Vedtrappmossa
Spillkråka
Tjäder
Revlummer</t>
        </is>
      </c>
      <c r="V18">
        <f>HYPERLINK("https://klasma.github.io/Logging_1460/artfynd/A 273-2026 artfynd.xlsx", "A 273-2026")</f>
        <v/>
      </c>
      <c r="W18">
        <f>HYPERLINK("https://klasma.github.io/Logging_1460/kartor/A 273-2026 karta.png", "A 273-2026")</f>
        <v/>
      </c>
      <c r="X18">
        <f>HYPERLINK("https://klasma.github.io/Logging_1460/knärot/A 273-2026 karta knärot.png", "A 273-2026")</f>
        <v/>
      </c>
      <c r="Y18">
        <f>HYPERLINK("https://klasma.github.io/Logging_1460/klagomål/A 273-2026 FSC-klagomål.docx", "A 273-2026")</f>
        <v/>
      </c>
      <c r="Z18">
        <f>HYPERLINK("https://klasma.github.io/Logging_1460/klagomålsmail/A 273-2026 FSC-klagomål mail.docx", "A 273-2026")</f>
        <v/>
      </c>
      <c r="AA18">
        <f>HYPERLINK("https://klasma.github.io/Logging_1460/tillsyn/A 273-2026 tillsynsbegäran.docx", "A 273-2026")</f>
        <v/>
      </c>
      <c r="AB18">
        <f>HYPERLINK("https://klasma.github.io/Logging_1460/tillsynsmail/A 273-2026 tillsynsbegäran mail.docx", "A 273-2026")</f>
        <v/>
      </c>
      <c r="AC18">
        <f>HYPERLINK("https://klasma.github.io/Logging_1460/fåglar/A 273-2026 prioriterade fågelarter.docx", "A 273-2026")</f>
        <v/>
      </c>
    </row>
    <row r="19" ht="15" customHeight="1">
      <c r="A19" t="inlineStr">
        <is>
          <t>A 16422-2023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45029</v>
      </c>
      <c r="E19" s="1" t="n">
        <v>46218</v>
      </c>
      <c r="F19" t="inlineStr">
        <is>
          <t>VÄSTRA GÖTALANDS LÄN</t>
        </is>
      </c>
      <c r="G19" t="inlineStr">
        <is>
          <t>BENGTSFORS</t>
        </is>
      </c>
      <c r="I19" t="n">
        <v>11.6</v>
      </c>
      <c r="J19" t="n">
        <v>0</v>
      </c>
      <c r="K19" t="n">
        <v>4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6</v>
      </c>
      <c r="T19" t="n">
        <v>7</v>
      </c>
      <c r="U19" s="2" t="inlineStr">
        <is>
          <t>Fällmossa
Grov fjädermossa
Platt fjädermossa
Stenporella
Ormbär
Sälg</t>
        </is>
      </c>
      <c r="V19">
        <f>HYPERLINK("https://klasma.github.io/Logging_1460/artfynd/A 16422-2023 artfynd.xlsx", "A 16422-2023")</f>
        <v/>
      </c>
      <c r="W19">
        <f>HYPERLINK("https://klasma.github.io/Logging_1460/kartor/A 16422-2023 karta.png", "A 16422-2023")</f>
        <v/>
      </c>
      <c r="Y19">
        <f>HYPERLINK("https://klasma.github.io/Logging_1460/klagomål/A 16422-2023 FSC-klagomål.docx", "A 16422-2023")</f>
        <v/>
      </c>
      <c r="Z19">
        <f>HYPERLINK("https://klasma.github.io/Logging_1460/klagomålsmail/A 16422-2023 FSC-klagomål mail.docx", "A 16422-2023")</f>
        <v/>
      </c>
      <c r="AA19">
        <f>HYPERLINK("https://klasma.github.io/Logging_1460/tillsyn/A 16422-2023 tillsynsbegäran.docx", "A 16422-2023")</f>
        <v/>
      </c>
      <c r="AB19">
        <f>HYPERLINK("https://klasma.github.io/Logging_1460/tillsynsmail/A 16422-2023 tillsynsbegäran mail.docx", "A 16422-2023")</f>
        <v/>
      </c>
    </row>
    <row r="20" ht="15" customHeight="1">
      <c r="A20" t="inlineStr">
        <is>
          <t>A 41407-2025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45901</v>
      </c>
      <c r="E20" s="1" t="n">
        <v>46218</v>
      </c>
      <c r="F20" t="inlineStr">
        <is>
          <t>VÄSTRA GÖTALANDS LÄN</t>
        </is>
      </c>
      <c r="G20" t="inlineStr">
        <is>
          <t>BENGTSFORS</t>
        </is>
      </c>
      <c r="I20" t="n">
        <v>0.7</v>
      </c>
      <c r="J20" t="n">
        <v>2</v>
      </c>
      <c r="K20" t="n">
        <v>2</v>
      </c>
      <c r="L20" t="n">
        <v>2</v>
      </c>
      <c r="M20" t="n">
        <v>1</v>
      </c>
      <c r="N20" t="n">
        <v>0</v>
      </c>
      <c r="O20" t="n">
        <v>0</v>
      </c>
      <c r="P20" t="n">
        <v>0</v>
      </c>
      <c r="Q20" t="n">
        <v>3</v>
      </c>
      <c r="R20" t="n">
        <v>1</v>
      </c>
      <c r="S20" t="n">
        <v>6</v>
      </c>
      <c r="T20" t="n">
        <v>11</v>
      </c>
      <c r="U20" s="2" t="inlineStr">
        <is>
          <t>Hällebräcka
Fjällig taggsvamp s.str.
Gultoppig fingersvamp
Diskvaxskivling
Svavelriska
Blåsippa</t>
        </is>
      </c>
      <c r="V20">
        <f>HYPERLINK("https://klasma.github.io/Logging_1460/artfynd/A 41407-2025 artfynd.xlsx", "A 41407-2025")</f>
        <v/>
      </c>
      <c r="W20">
        <f>HYPERLINK("https://klasma.github.io/Logging_1460/kartor/A 41407-2025 karta.png", "A 41407-2025")</f>
        <v/>
      </c>
      <c r="Y20">
        <f>HYPERLINK("https://klasma.github.io/Logging_1460/klagomål/A 41407-2025 FSC-klagomål.docx", "A 41407-2025")</f>
        <v/>
      </c>
      <c r="Z20">
        <f>HYPERLINK("https://klasma.github.io/Logging_1460/klagomålsmail/A 41407-2025 FSC-klagomål mail.docx", "A 41407-2025")</f>
        <v/>
      </c>
      <c r="AA20">
        <f>HYPERLINK("https://klasma.github.io/Logging_1460/tillsyn/A 41407-2025 tillsynsbegäran.docx", "A 41407-2025")</f>
        <v/>
      </c>
      <c r="AB20">
        <f>HYPERLINK("https://klasma.github.io/Logging_1460/tillsynsmail/A 41407-2025 tillsynsbegäran mail.docx", "A 41407-2025")</f>
        <v/>
      </c>
    </row>
    <row r="21" ht="15" customHeight="1">
      <c r="A21" t="inlineStr">
        <is>
          <t>A 51547-2023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45222</v>
      </c>
      <c r="E21" s="1" t="n">
        <v>46218</v>
      </c>
      <c r="F21" t="inlineStr">
        <is>
          <t>VÄSTRA GÖTALANDS LÄN</t>
        </is>
      </c>
      <c r="G21" t="inlineStr">
        <is>
          <t>BENGTSFORS</t>
        </is>
      </c>
      <c r="I21" t="n">
        <v>6.9</v>
      </c>
      <c r="J21" t="n">
        <v>2</v>
      </c>
      <c r="K21" t="n">
        <v>2</v>
      </c>
      <c r="L21" t="n">
        <v>2</v>
      </c>
      <c r="M21" t="n">
        <v>1</v>
      </c>
      <c r="N21" t="n">
        <v>0</v>
      </c>
      <c r="O21" t="n">
        <v>0</v>
      </c>
      <c r="P21" t="n">
        <v>0</v>
      </c>
      <c r="Q21" t="n">
        <v>3</v>
      </c>
      <c r="R21" t="n">
        <v>1</v>
      </c>
      <c r="S21" t="n">
        <v>6</v>
      </c>
      <c r="T21" t="n">
        <v>9</v>
      </c>
      <c r="U21" s="2" t="inlineStr">
        <is>
          <t>Knärot
Dropptaggsvamp
Motaggsvamp
Grönpyrola
Stor revmossa
Revlummer</t>
        </is>
      </c>
      <c r="V21">
        <f>HYPERLINK("https://klasma.github.io/Logging_1460/artfynd/A 51547-2023 artfynd.xlsx", "A 51547-2023")</f>
        <v/>
      </c>
      <c r="W21">
        <f>HYPERLINK("https://klasma.github.io/Logging_1460/kartor/A 51547-2023 karta.png", "A 51547-2023")</f>
        <v/>
      </c>
      <c r="X21">
        <f>HYPERLINK("https://klasma.github.io/Logging_1460/knärot/A 51547-2023 karta knärot.png", "A 51547-2023")</f>
        <v/>
      </c>
      <c r="Y21">
        <f>HYPERLINK("https://klasma.github.io/Logging_1460/klagomål/A 51547-2023 FSC-klagomål.docx", "A 51547-2023")</f>
        <v/>
      </c>
      <c r="Z21">
        <f>HYPERLINK("https://klasma.github.io/Logging_1460/klagomålsmail/A 51547-2023 FSC-klagomål mail.docx", "A 51547-2023")</f>
        <v/>
      </c>
      <c r="AA21">
        <f>HYPERLINK("https://klasma.github.io/Logging_1460/tillsyn/A 51547-2023 tillsynsbegäran.docx", "A 51547-2023")</f>
        <v/>
      </c>
      <c r="AB21">
        <f>HYPERLINK("https://klasma.github.io/Logging_1460/tillsynsmail/A 51547-2023 tillsynsbegäran mail.docx", "A 51547-2023")</f>
        <v/>
      </c>
    </row>
    <row r="22" ht="15" customHeight="1">
      <c r="A22" t="inlineStr">
        <is>
          <t>A 15947-2024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45405</v>
      </c>
      <c r="E22" s="1" t="n">
        <v>46218</v>
      </c>
      <c r="F22" t="inlineStr">
        <is>
          <t>VÄSTRA GÖTALANDS LÄN</t>
        </is>
      </c>
      <c r="G22" t="inlineStr">
        <is>
          <t>BENGTSFORS</t>
        </is>
      </c>
      <c r="I22" t="n">
        <v>2.9</v>
      </c>
      <c r="J22" t="n">
        <v>0</v>
      </c>
      <c r="K22" t="n">
        <v>3</v>
      </c>
      <c r="L22" t="n">
        <v>2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t="n">
        <v>0</v>
      </c>
      <c r="S22" t="n">
        <v>5</v>
      </c>
      <c r="T22" t="n">
        <v>7</v>
      </c>
      <c r="U22" s="2" t="inlineStr">
        <is>
          <t>Lunglav
Svart askbastborre
Fällmossa
Grov baronmossa
Platt fjädermossa</t>
        </is>
      </c>
      <c r="V22">
        <f>HYPERLINK("https://klasma.github.io/Logging_1460/artfynd/A 15947-2024 artfynd.xlsx", "A 15947-2024")</f>
        <v/>
      </c>
      <c r="W22">
        <f>HYPERLINK("https://klasma.github.io/Logging_1460/kartor/A 15947-2024 karta.png", "A 15947-2024")</f>
        <v/>
      </c>
      <c r="Y22">
        <f>HYPERLINK("https://klasma.github.io/Logging_1460/klagomål/A 15947-2024 FSC-klagomål.docx", "A 15947-2024")</f>
        <v/>
      </c>
      <c r="Z22">
        <f>HYPERLINK("https://klasma.github.io/Logging_1460/klagomålsmail/A 15947-2024 FSC-klagomål mail.docx", "A 15947-2024")</f>
        <v/>
      </c>
      <c r="AA22">
        <f>HYPERLINK("https://klasma.github.io/Logging_1460/tillsyn/A 15947-2024 tillsynsbegäran.docx", "A 15947-2024")</f>
        <v/>
      </c>
      <c r="AB22">
        <f>HYPERLINK("https://klasma.github.io/Logging_1460/tillsynsmail/A 15947-2024 tillsynsbegäran mail.docx", "A 15947-2024")</f>
        <v/>
      </c>
    </row>
    <row r="23" ht="15" customHeight="1">
      <c r="A23" t="inlineStr">
        <is>
          <t>A 29215-2022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44750</v>
      </c>
      <c r="E23" s="1" t="n">
        <v>46218</v>
      </c>
      <c r="F23" t="inlineStr">
        <is>
          <t>VÄSTRA GÖTALANDS LÄN</t>
        </is>
      </c>
      <c r="G23" t="inlineStr">
        <is>
          <t>BENGTSFORS</t>
        </is>
      </c>
      <c r="I23" t="n">
        <v>9.9</v>
      </c>
      <c r="J23" t="n">
        <v>2</v>
      </c>
      <c r="K23" t="n">
        <v>1</v>
      </c>
      <c r="L23" t="n">
        <v>2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t="n">
        <v>0</v>
      </c>
      <c r="S23" t="n">
        <v>5</v>
      </c>
      <c r="T23" t="n">
        <v>9</v>
      </c>
      <c r="U23" s="2" t="inlineStr">
        <is>
          <t>Stubbtrådmossa
Vedtrappmossa
Västlig hakmossa
Spillkråka
Tjäder</t>
        </is>
      </c>
      <c r="V23">
        <f>HYPERLINK("https://klasma.github.io/Logging_1460/artfynd/A 29215-2022 artfynd.xlsx", "A 29215-2022")</f>
        <v/>
      </c>
      <c r="W23">
        <f>HYPERLINK("https://klasma.github.io/Logging_1460/kartor/A 29215-2022 karta.png", "A 29215-2022")</f>
        <v/>
      </c>
      <c r="Y23">
        <f>HYPERLINK("https://klasma.github.io/Logging_1460/klagomål/A 29215-2022 FSC-klagomål.docx", "A 29215-2022")</f>
        <v/>
      </c>
      <c r="Z23">
        <f>HYPERLINK("https://klasma.github.io/Logging_1460/klagomålsmail/A 29215-2022 FSC-klagomål mail.docx", "A 29215-2022")</f>
        <v/>
      </c>
      <c r="AA23">
        <f>HYPERLINK("https://klasma.github.io/Logging_1460/tillsyn/A 29215-2022 tillsynsbegäran.docx", "A 29215-2022")</f>
        <v/>
      </c>
      <c r="AB23">
        <f>HYPERLINK("https://klasma.github.io/Logging_1460/tillsynsmail/A 29215-2022 tillsynsbegäran mail.docx", "A 29215-2022")</f>
        <v/>
      </c>
      <c r="AC23">
        <f>HYPERLINK("https://klasma.github.io/Logging_1460/fåglar/A 29215-2022 prioriterade fågelarter.docx", "A 29215-2022")</f>
        <v/>
      </c>
    </row>
    <row r="24" ht="15" customHeight="1">
      <c r="A24" t="inlineStr">
        <is>
          <t>A 25728-2024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45464</v>
      </c>
      <c r="E24" s="1" t="n">
        <v>46218</v>
      </c>
      <c r="F24" t="inlineStr">
        <is>
          <t>VÄSTRA GÖTALANDS LÄN</t>
        </is>
      </c>
      <c r="G24" t="inlineStr">
        <is>
          <t>BENGTSFORS</t>
        </is>
      </c>
      <c r="I24" t="n">
        <v>1.9</v>
      </c>
      <c r="J24" t="n">
        <v>0</v>
      </c>
      <c r="K24" t="n">
        <v>3</v>
      </c>
      <c r="L24" t="n">
        <v>1</v>
      </c>
      <c r="M24" t="n">
        <v>1</v>
      </c>
      <c r="N24" t="n">
        <v>0</v>
      </c>
      <c r="O24" t="n">
        <v>0</v>
      </c>
      <c r="P24" t="n">
        <v>0</v>
      </c>
      <c r="Q24" t="n">
        <v>2</v>
      </c>
      <c r="R24" t="n">
        <v>1</v>
      </c>
      <c r="S24" t="n">
        <v>5</v>
      </c>
      <c r="T24" t="n">
        <v>5</v>
      </c>
      <c r="U24" s="2" t="inlineStr">
        <is>
          <t>Jättemusseron
Dropptaggsvamp
Blomkålssvamp
Mindre märgborre
Vågbandad barkbock</t>
        </is>
      </c>
      <c r="V24">
        <f>HYPERLINK("https://klasma.github.io/Logging_1460/artfynd/A 25728-2024 artfynd.xlsx", "A 25728-2024")</f>
        <v/>
      </c>
      <c r="W24">
        <f>HYPERLINK("https://klasma.github.io/Logging_1460/kartor/A 25728-2024 karta.png", "A 25728-2024")</f>
        <v/>
      </c>
      <c r="Y24">
        <f>HYPERLINK("https://klasma.github.io/Logging_1460/klagomål/A 25728-2024 FSC-klagomål.docx", "A 25728-2024")</f>
        <v/>
      </c>
      <c r="Z24">
        <f>HYPERLINK("https://klasma.github.io/Logging_1460/klagomålsmail/A 25728-2024 FSC-klagomål mail.docx", "A 25728-2024")</f>
        <v/>
      </c>
      <c r="AA24">
        <f>HYPERLINK("https://klasma.github.io/Logging_1460/tillsyn/A 25728-2024 tillsynsbegäran.docx", "A 25728-2024")</f>
        <v/>
      </c>
      <c r="AB24">
        <f>HYPERLINK("https://klasma.github.io/Logging_1460/tillsynsmail/A 25728-2024 tillsynsbegäran mail.docx", "A 25728-2024")</f>
        <v/>
      </c>
    </row>
    <row r="25" ht="15" customHeight="1">
      <c r="A25" t="inlineStr">
        <is>
          <t>A 35024-2025</t>
        </is>
      </c>
      <c r="B25" t="inlineStr">
        <is>
          <t>avverkningsanmälan</t>
        </is>
      </c>
      <c r="C25" t="inlineStr">
        <is>
          <t>Avverkning för annat ändamål</t>
        </is>
      </c>
      <c r="D25" s="1" t="n">
        <v>45851</v>
      </c>
      <c r="E25" s="1" t="n">
        <v>46218</v>
      </c>
      <c r="F25" t="inlineStr">
        <is>
          <t>VÄSTRA GÖTALANDS LÄN</t>
        </is>
      </c>
      <c r="G25" t="inlineStr">
        <is>
          <t>BENGTSFORS</t>
        </is>
      </c>
      <c r="I25" t="n">
        <v>1.1</v>
      </c>
      <c r="J25" t="n">
        <v>3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5</v>
      </c>
      <c r="T25" t="n">
        <v>8</v>
      </c>
      <c r="U25" s="2" t="inlineStr">
        <is>
          <t>Talltita
Blåsippa
Kransmossa
Linnea
Spillkråka</t>
        </is>
      </c>
      <c r="V25">
        <f>HYPERLINK("https://klasma.github.io/Logging_1460/artfynd/A 35024-2025 artfynd.xlsx", "A 35024-2025")</f>
        <v/>
      </c>
      <c r="W25">
        <f>HYPERLINK("https://klasma.github.io/Logging_1460/kartor/A 35024-2025 karta.png", "A 35024-2025")</f>
        <v/>
      </c>
      <c r="Y25">
        <f>HYPERLINK("https://klasma.github.io/Logging_1460/klagomål/A 35024-2025 FSC-klagomål.docx", "A 35024-2025")</f>
        <v/>
      </c>
      <c r="Z25">
        <f>HYPERLINK("https://klasma.github.io/Logging_1460/klagomålsmail/A 35024-2025 FSC-klagomål mail.docx", "A 35024-2025")</f>
        <v/>
      </c>
      <c r="AA25">
        <f>HYPERLINK("https://klasma.github.io/Logging_1460/tillsyn/A 35024-2025 tillsynsbegäran.docx", "A 35024-2025")</f>
        <v/>
      </c>
      <c r="AB25">
        <f>HYPERLINK("https://klasma.github.io/Logging_1460/tillsynsmail/A 35024-2025 tillsynsbegäran mail.docx", "A 35024-2025")</f>
        <v/>
      </c>
      <c r="AC25">
        <f>HYPERLINK("https://klasma.github.io/Logging_1460/fåglar/A 35024-2025 prioriterade fågelarter.docx", "A 35024-2025")</f>
        <v/>
      </c>
    </row>
    <row r="26" ht="15" customHeight="1">
      <c r="A26" t="inlineStr">
        <is>
          <t>A 13217-2026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46093</v>
      </c>
      <c r="E26" s="1" t="n">
        <v>46218</v>
      </c>
      <c r="F26" t="inlineStr">
        <is>
          <t>VÄSTRA GÖTALANDS LÄN</t>
        </is>
      </c>
      <c r="G26" t="inlineStr">
        <is>
          <t>BENGTSFORS</t>
        </is>
      </c>
      <c r="H26" t="inlineStr">
        <is>
          <t>Bergvik skog väst AB</t>
        </is>
      </c>
      <c r="I26" t="n">
        <v>3.4</v>
      </c>
      <c r="J26" t="n">
        <v>0</v>
      </c>
      <c r="K26" t="n">
        <v>1</v>
      </c>
      <c r="L26" t="n">
        <v>3</v>
      </c>
      <c r="M26" t="n">
        <v>1</v>
      </c>
      <c r="N26" t="n">
        <v>0</v>
      </c>
      <c r="O26" t="n">
        <v>0</v>
      </c>
      <c r="P26" t="n">
        <v>0</v>
      </c>
      <c r="Q26" t="n">
        <v>4</v>
      </c>
      <c r="R26" t="n">
        <v>1</v>
      </c>
      <c r="S26" t="n">
        <v>5</v>
      </c>
      <c r="T26" t="n">
        <v>6</v>
      </c>
      <c r="U26" s="2" t="inlineStr">
        <is>
          <t>Garnlav
Doftskinn
Skogstrappmossa
Vedtrappmossa
Vedticka</t>
        </is>
      </c>
      <c r="V26">
        <f>HYPERLINK("https://klasma.github.io/Logging_1460/artfynd/A 13217-2026 artfynd.xlsx", "A 13217-2026")</f>
        <v/>
      </c>
      <c r="W26">
        <f>HYPERLINK("https://klasma.github.io/Logging_1460/kartor/A 13217-2026 karta.png", "A 13217-2026")</f>
        <v/>
      </c>
      <c r="Y26">
        <f>HYPERLINK("https://klasma.github.io/Logging_1460/klagomål/A 13217-2026 FSC-klagomål.docx", "A 13217-2026")</f>
        <v/>
      </c>
      <c r="Z26">
        <f>HYPERLINK("https://klasma.github.io/Logging_1460/klagomålsmail/A 13217-2026 FSC-klagomål mail.docx", "A 13217-2026")</f>
        <v/>
      </c>
      <c r="AA26">
        <f>HYPERLINK("https://klasma.github.io/Logging_1460/tillsyn/A 13217-2026 tillsynsbegäran.docx", "A 13217-2026")</f>
        <v/>
      </c>
      <c r="AB26">
        <f>HYPERLINK("https://klasma.github.io/Logging_1460/tillsynsmail/A 13217-2026 tillsynsbegäran mail.docx", "A 13217-2026")</f>
        <v/>
      </c>
    </row>
    <row r="27" ht="15" customHeight="1">
      <c r="A27" t="inlineStr">
        <is>
          <t>A 11443-2023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44993</v>
      </c>
      <c r="E27" s="1" t="n">
        <v>46218</v>
      </c>
      <c r="F27" t="inlineStr">
        <is>
          <t>VÄSTRA GÖTALANDS LÄN</t>
        </is>
      </c>
      <c r="G27" t="inlineStr">
        <is>
          <t>BENGTSFORS</t>
        </is>
      </c>
      <c r="I27" t="n">
        <v>0.5</v>
      </c>
      <c r="J27" t="n">
        <v>4</v>
      </c>
      <c r="K27" t="n">
        <v>0</v>
      </c>
      <c r="L27" t="n">
        <v>1</v>
      </c>
      <c r="M27" t="n">
        <v>2</v>
      </c>
      <c r="N27" t="n">
        <v>0</v>
      </c>
      <c r="O27" t="n">
        <v>0</v>
      </c>
      <c r="P27" t="n">
        <v>0</v>
      </c>
      <c r="Q27" t="n">
        <v>3</v>
      </c>
      <c r="R27" t="n">
        <v>2</v>
      </c>
      <c r="S27" t="n">
        <v>4</v>
      </c>
      <c r="T27" t="n">
        <v>4</v>
      </c>
      <c r="U27" s="2" t="inlineStr">
        <is>
          <t>Grönfink
Stare
Strandskata
Grönsiska</t>
        </is>
      </c>
      <c r="V27">
        <f>HYPERLINK("https://klasma.github.io/Logging_1460/artfynd/A 11443-2023 artfynd.xlsx", "A 11443-2023")</f>
        <v/>
      </c>
      <c r="W27">
        <f>HYPERLINK("https://klasma.github.io/Logging_1460/kartor/A 11443-2023 karta.png", "A 11443-2023")</f>
        <v/>
      </c>
      <c r="Y27">
        <f>HYPERLINK("https://klasma.github.io/Logging_1460/klagomål/A 11443-2023 FSC-klagomål.docx", "A 11443-2023")</f>
        <v/>
      </c>
      <c r="Z27">
        <f>HYPERLINK("https://klasma.github.io/Logging_1460/klagomålsmail/A 11443-2023 FSC-klagomål mail.docx", "A 11443-2023")</f>
        <v/>
      </c>
      <c r="AA27">
        <f>HYPERLINK("https://klasma.github.io/Logging_1460/tillsyn/A 11443-2023 tillsynsbegäran.docx", "A 11443-2023")</f>
        <v/>
      </c>
      <c r="AB27">
        <f>HYPERLINK("https://klasma.github.io/Logging_1460/tillsynsmail/A 11443-2023 tillsynsbegäran mail.docx", "A 11443-2023")</f>
        <v/>
      </c>
      <c r="AC27">
        <f>HYPERLINK("https://klasma.github.io/Logging_1460/fåglar/A 11443-2023 prioriterade fågelarter.docx", "A 11443-2023")</f>
        <v/>
      </c>
    </row>
    <row r="28" ht="15" customHeight="1">
      <c r="A28" t="inlineStr">
        <is>
          <t>A 8596-2022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44613</v>
      </c>
      <c r="E28" s="1" t="n">
        <v>46218</v>
      </c>
      <c r="F28" t="inlineStr">
        <is>
          <t>VÄSTRA GÖTALANDS LÄN</t>
        </is>
      </c>
      <c r="G28" t="inlineStr">
        <is>
          <t>BENGTSFORS</t>
        </is>
      </c>
      <c r="I28" t="n">
        <v>5.8</v>
      </c>
      <c r="J28" t="n">
        <v>3</v>
      </c>
      <c r="K28" t="n">
        <v>1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4</v>
      </c>
      <c r="T28" t="n">
        <v>4</v>
      </c>
      <c r="U28" s="2" t="inlineStr">
        <is>
          <t>Nötkråka
Kambräken
Tallbit
Havsörn</t>
        </is>
      </c>
      <c r="V28">
        <f>HYPERLINK("https://klasma.github.io/Logging_1460/artfynd/A 8596-2022 artfynd.xlsx", "A 8596-2022")</f>
        <v/>
      </c>
      <c r="W28">
        <f>HYPERLINK("https://klasma.github.io/Logging_1460/kartor/A 8596-2022 karta.png", "A 8596-2022")</f>
        <v/>
      </c>
      <c r="Y28">
        <f>HYPERLINK("https://klasma.github.io/Logging_1460/klagomål/A 8596-2022 FSC-klagomål.docx", "A 8596-2022")</f>
        <v/>
      </c>
      <c r="Z28">
        <f>HYPERLINK("https://klasma.github.io/Logging_1460/klagomålsmail/A 8596-2022 FSC-klagomål mail.docx", "A 8596-2022")</f>
        <v/>
      </c>
      <c r="AA28">
        <f>HYPERLINK("https://klasma.github.io/Logging_1460/tillsyn/A 8596-2022 tillsynsbegäran.docx", "A 8596-2022")</f>
        <v/>
      </c>
      <c r="AB28">
        <f>HYPERLINK("https://klasma.github.io/Logging_1460/tillsynsmail/A 8596-2022 tillsynsbegäran mail.docx", "A 8596-2022")</f>
        <v/>
      </c>
      <c r="AC28">
        <f>HYPERLINK("https://klasma.github.io/Logging_1460/fåglar/A 8596-2022 prioriterade fågelarter.docx", "A 8596-2022")</f>
        <v/>
      </c>
    </row>
    <row r="29" ht="15" customHeight="1">
      <c r="A29" t="inlineStr">
        <is>
          <t>A 32816-2023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45124</v>
      </c>
      <c r="E29" s="1" t="n">
        <v>46218</v>
      </c>
      <c r="F29" t="inlineStr">
        <is>
          <t>VÄSTRA GÖTALANDS LÄN</t>
        </is>
      </c>
      <c r="G29" t="inlineStr">
        <is>
          <t>BENGTSFORS</t>
        </is>
      </c>
      <c r="I29" t="n">
        <v>4.3</v>
      </c>
      <c r="J29" t="n">
        <v>1</v>
      </c>
      <c r="K29" t="n">
        <v>0</v>
      </c>
      <c r="L29" t="n">
        <v>3</v>
      </c>
      <c r="M29" t="n">
        <v>0</v>
      </c>
      <c r="N29" t="n">
        <v>0</v>
      </c>
      <c r="O29" t="n">
        <v>0</v>
      </c>
      <c r="P29" t="n">
        <v>0</v>
      </c>
      <c r="Q29" t="n">
        <v>3</v>
      </c>
      <c r="R29" t="n">
        <v>0</v>
      </c>
      <c r="S29" t="n">
        <v>4</v>
      </c>
      <c r="T29" t="n">
        <v>4</v>
      </c>
      <c r="U29" s="2" t="inlineStr">
        <is>
          <t>Jungfrulin
Slåtterfibbla
Svinrot
Nattviol</t>
        </is>
      </c>
      <c r="V29">
        <f>HYPERLINK("https://klasma.github.io/Logging_1460/artfynd/A 32816-2023 artfynd.xlsx", "A 32816-2023")</f>
        <v/>
      </c>
      <c r="W29">
        <f>HYPERLINK("https://klasma.github.io/Logging_1460/kartor/A 32816-2023 karta.png", "A 32816-2023")</f>
        <v/>
      </c>
      <c r="Y29">
        <f>HYPERLINK("https://klasma.github.io/Logging_1460/klagomål/A 32816-2023 FSC-klagomål.docx", "A 32816-2023")</f>
        <v/>
      </c>
      <c r="Z29">
        <f>HYPERLINK("https://klasma.github.io/Logging_1460/klagomålsmail/A 32816-2023 FSC-klagomål mail.docx", "A 32816-2023")</f>
        <v/>
      </c>
      <c r="AA29">
        <f>HYPERLINK("https://klasma.github.io/Logging_1460/tillsyn/A 32816-2023 tillsynsbegäran.docx", "A 32816-2023")</f>
        <v/>
      </c>
      <c r="AB29">
        <f>HYPERLINK("https://klasma.github.io/Logging_1460/tillsynsmail/A 32816-2023 tillsynsbegäran mail.docx", "A 32816-2023")</f>
        <v/>
      </c>
    </row>
    <row r="30" ht="15" customHeight="1">
      <c r="A30" t="inlineStr">
        <is>
          <t>A 3412-2024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45319</v>
      </c>
      <c r="E30" s="1" t="n">
        <v>46218</v>
      </c>
      <c r="F30" t="inlineStr">
        <is>
          <t>VÄSTRA GÖTALANDS LÄN</t>
        </is>
      </c>
      <c r="G30" t="inlineStr">
        <is>
          <t>BENGTSFORS</t>
        </is>
      </c>
      <c r="I30" t="n">
        <v>4.3</v>
      </c>
      <c r="J30" t="n">
        <v>1</v>
      </c>
      <c r="K30" t="n">
        <v>2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4</v>
      </c>
      <c r="T30" t="n">
        <v>7</v>
      </c>
      <c r="U30" s="2" t="inlineStr">
        <is>
          <t>Ullticka
Blåmossa
Vedticka
Tjäder</t>
        </is>
      </c>
      <c r="V30">
        <f>HYPERLINK("https://klasma.github.io/Logging_1460/artfynd/A 3412-2024 artfynd.xlsx", "A 3412-2024")</f>
        <v/>
      </c>
      <c r="W30">
        <f>HYPERLINK("https://klasma.github.io/Logging_1460/kartor/A 3412-2024 karta.png", "A 3412-2024")</f>
        <v/>
      </c>
      <c r="Y30">
        <f>HYPERLINK("https://klasma.github.io/Logging_1460/klagomål/A 3412-2024 FSC-klagomål.docx", "A 3412-2024")</f>
        <v/>
      </c>
      <c r="Z30">
        <f>HYPERLINK("https://klasma.github.io/Logging_1460/klagomålsmail/A 3412-2024 FSC-klagomål mail.docx", "A 3412-2024")</f>
        <v/>
      </c>
      <c r="AA30">
        <f>HYPERLINK("https://klasma.github.io/Logging_1460/tillsyn/A 3412-2024 tillsynsbegäran.docx", "A 3412-2024")</f>
        <v/>
      </c>
      <c r="AB30">
        <f>HYPERLINK("https://klasma.github.io/Logging_1460/tillsynsmail/A 3412-2024 tillsynsbegäran mail.docx", "A 3412-2024")</f>
        <v/>
      </c>
      <c r="AC30">
        <f>HYPERLINK("https://klasma.github.io/Logging_1460/fåglar/A 3412-2024 prioriterade fågelarter.docx", "A 3412-2024")</f>
        <v/>
      </c>
    </row>
    <row r="31" ht="15" customHeight="1">
      <c r="A31" t="inlineStr">
        <is>
          <t>A 31015-2022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44768</v>
      </c>
      <c r="E31" s="1" t="n">
        <v>46218</v>
      </c>
      <c r="F31" t="inlineStr">
        <is>
          <t>VÄSTRA GÖTALANDS LÄN</t>
        </is>
      </c>
      <c r="G31" t="inlineStr">
        <is>
          <t>BENGTSFORS</t>
        </is>
      </c>
      <c r="I31" t="n">
        <v>17</v>
      </c>
      <c r="J31" t="n">
        <v>3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3</v>
      </c>
      <c r="T31" t="n">
        <v>5</v>
      </c>
      <c r="U31" s="2" t="inlineStr">
        <is>
          <t>Talltita
Grönsiska
Kungsfågel</t>
        </is>
      </c>
      <c r="V31">
        <f>HYPERLINK("https://klasma.github.io/Logging_1460/artfynd/A 31015-2022 artfynd.xlsx", "A 31015-2022")</f>
        <v/>
      </c>
      <c r="W31">
        <f>HYPERLINK("https://klasma.github.io/Logging_1460/kartor/A 31015-2022 karta.png", "A 31015-2022")</f>
        <v/>
      </c>
      <c r="Y31">
        <f>HYPERLINK("https://klasma.github.io/Logging_1460/klagomål/A 31015-2022 FSC-klagomål.docx", "A 31015-2022")</f>
        <v/>
      </c>
      <c r="Z31">
        <f>HYPERLINK("https://klasma.github.io/Logging_1460/klagomålsmail/A 31015-2022 FSC-klagomål mail.docx", "A 31015-2022")</f>
        <v/>
      </c>
      <c r="AA31">
        <f>HYPERLINK("https://klasma.github.io/Logging_1460/tillsyn/A 31015-2022 tillsynsbegäran.docx", "A 31015-2022")</f>
        <v/>
      </c>
      <c r="AB31">
        <f>HYPERLINK("https://klasma.github.io/Logging_1460/tillsynsmail/A 31015-2022 tillsynsbegäran mail.docx", "A 31015-2022")</f>
        <v/>
      </c>
      <c r="AC31">
        <f>HYPERLINK("https://klasma.github.io/Logging_1460/fåglar/A 31015-2022 prioriterade fågelarter.docx", "A 31015-2022")</f>
        <v/>
      </c>
    </row>
    <row r="32" ht="15" customHeight="1">
      <c r="A32" t="inlineStr">
        <is>
          <t>A 53197-2023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45229</v>
      </c>
      <c r="E32" s="1" t="n">
        <v>46218</v>
      </c>
      <c r="F32" t="inlineStr">
        <is>
          <t>VÄSTRA GÖTALANDS LÄN</t>
        </is>
      </c>
      <c r="G32" t="inlineStr">
        <is>
          <t>BENGTSFORS</t>
        </is>
      </c>
      <c r="I32" t="n">
        <v>7.2</v>
      </c>
      <c r="J32" t="n">
        <v>0</v>
      </c>
      <c r="K32" t="n">
        <v>2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3</v>
      </c>
      <c r="T32" t="n">
        <v>3</v>
      </c>
      <c r="U32" s="2" t="inlineStr">
        <is>
          <t>Kattfotslav
Grönpyrola
Vedticka</t>
        </is>
      </c>
      <c r="V32">
        <f>HYPERLINK("https://klasma.github.io/Logging_1460/artfynd/A 53197-2023 artfynd.xlsx", "A 53197-2023")</f>
        <v/>
      </c>
      <c r="W32">
        <f>HYPERLINK("https://klasma.github.io/Logging_1460/kartor/A 53197-2023 karta.png", "A 53197-2023")</f>
        <v/>
      </c>
      <c r="Y32">
        <f>HYPERLINK("https://klasma.github.io/Logging_1460/klagomål/A 53197-2023 FSC-klagomål.docx", "A 53197-2023")</f>
        <v/>
      </c>
      <c r="Z32">
        <f>HYPERLINK("https://klasma.github.io/Logging_1460/klagomålsmail/A 53197-2023 FSC-klagomål mail.docx", "A 53197-2023")</f>
        <v/>
      </c>
      <c r="AA32">
        <f>HYPERLINK("https://klasma.github.io/Logging_1460/tillsyn/A 53197-2023 tillsynsbegäran.docx", "A 53197-2023")</f>
        <v/>
      </c>
      <c r="AB32">
        <f>HYPERLINK("https://klasma.github.io/Logging_1460/tillsynsmail/A 53197-2023 tillsynsbegäran mail.docx", "A 53197-2023")</f>
        <v/>
      </c>
    </row>
    <row r="33" ht="15" customHeight="1">
      <c r="A33" t="inlineStr">
        <is>
          <t>A 61611-2022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44916</v>
      </c>
      <c r="E33" s="1" t="n">
        <v>46218</v>
      </c>
      <c r="F33" t="inlineStr">
        <is>
          <t>VÄSTRA GÖTALANDS LÄN</t>
        </is>
      </c>
      <c r="G33" t="inlineStr">
        <is>
          <t>BENGTSFORS</t>
        </is>
      </c>
      <c r="I33" t="n">
        <v>2.6</v>
      </c>
      <c r="J33" t="n">
        <v>1</v>
      </c>
      <c r="K33" t="n">
        <v>1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3</v>
      </c>
      <c r="T33" t="n">
        <v>5</v>
      </c>
      <c r="U33" s="2" t="inlineStr">
        <is>
          <t>Lunglav
Vedticka
Blåsippa</t>
        </is>
      </c>
      <c r="V33">
        <f>HYPERLINK("https://klasma.github.io/Logging_1460/artfynd/A 61611-2022 artfynd.xlsx", "A 61611-2022")</f>
        <v/>
      </c>
      <c r="W33">
        <f>HYPERLINK("https://klasma.github.io/Logging_1460/kartor/A 61611-2022 karta.png", "A 61611-2022")</f>
        <v/>
      </c>
      <c r="Y33">
        <f>HYPERLINK("https://klasma.github.io/Logging_1460/klagomål/A 61611-2022 FSC-klagomål.docx", "A 61611-2022")</f>
        <v/>
      </c>
      <c r="Z33">
        <f>HYPERLINK("https://klasma.github.io/Logging_1460/klagomålsmail/A 61611-2022 FSC-klagomål mail.docx", "A 61611-2022")</f>
        <v/>
      </c>
      <c r="AA33">
        <f>HYPERLINK("https://klasma.github.io/Logging_1460/tillsyn/A 61611-2022 tillsynsbegäran.docx", "A 61611-2022")</f>
        <v/>
      </c>
      <c r="AB33">
        <f>HYPERLINK("https://klasma.github.io/Logging_1460/tillsynsmail/A 61611-2022 tillsynsbegäran mail.docx", "A 61611-2022")</f>
        <v/>
      </c>
    </row>
    <row r="34" ht="15" customHeight="1">
      <c r="A34" t="inlineStr">
        <is>
          <t>A 15201-2025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45744</v>
      </c>
      <c r="E34" s="1" t="n">
        <v>46218</v>
      </c>
      <c r="F34" t="inlineStr">
        <is>
          <t>VÄSTRA GÖTALANDS LÄN</t>
        </is>
      </c>
      <c r="G34" t="inlineStr">
        <is>
          <t>BENGTSFORS</t>
        </is>
      </c>
      <c r="I34" t="n">
        <v>2.3</v>
      </c>
      <c r="J34" t="n">
        <v>1</v>
      </c>
      <c r="K34" t="n">
        <v>2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3</v>
      </c>
      <c r="T34" t="n">
        <v>4</v>
      </c>
      <c r="U34" s="2" t="inlineStr">
        <is>
          <t>Grovticka
Svart trolldruva
Kungsfågel</t>
        </is>
      </c>
      <c r="V34">
        <f>HYPERLINK("https://klasma.github.io/Logging_1460/artfynd/A 15201-2025 artfynd.xlsx", "A 15201-2025")</f>
        <v/>
      </c>
      <c r="W34">
        <f>HYPERLINK("https://klasma.github.io/Logging_1460/kartor/A 15201-2025 karta.png", "A 15201-2025")</f>
        <v/>
      </c>
      <c r="Y34">
        <f>HYPERLINK("https://klasma.github.io/Logging_1460/klagomål/A 15201-2025 FSC-klagomål.docx", "A 15201-2025")</f>
        <v/>
      </c>
      <c r="Z34">
        <f>HYPERLINK("https://klasma.github.io/Logging_1460/klagomålsmail/A 15201-2025 FSC-klagomål mail.docx", "A 15201-2025")</f>
        <v/>
      </c>
      <c r="AA34">
        <f>HYPERLINK("https://klasma.github.io/Logging_1460/tillsyn/A 15201-2025 tillsynsbegäran.docx", "A 15201-2025")</f>
        <v/>
      </c>
      <c r="AB34">
        <f>HYPERLINK("https://klasma.github.io/Logging_1460/tillsynsmail/A 15201-2025 tillsynsbegäran mail.docx", "A 15201-2025")</f>
        <v/>
      </c>
    </row>
    <row r="35" ht="15" customHeight="1">
      <c r="A35" t="inlineStr">
        <is>
          <t>A 29195-2026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46202</v>
      </c>
      <c r="E35" s="1" t="n">
        <v>46218</v>
      </c>
      <c r="F35" t="inlineStr">
        <is>
          <t>VÄSTRA GÖTALANDS LÄN</t>
        </is>
      </c>
      <c r="G35" t="inlineStr">
        <is>
          <t>BENGTSFORS</t>
        </is>
      </c>
      <c r="I35" t="n">
        <v>2.9</v>
      </c>
      <c r="J35" t="n">
        <v>2</v>
      </c>
      <c r="K35" t="n">
        <v>0</v>
      </c>
      <c r="L35" t="n">
        <v>2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t="n">
        <v>0</v>
      </c>
      <c r="S35" t="n">
        <v>3</v>
      </c>
      <c r="T35" t="n">
        <v>4</v>
      </c>
      <c r="U35" s="2" t="inlineStr">
        <is>
          <t>Dropptaggsvamp
Talltita
Tofsmes</t>
        </is>
      </c>
      <c r="V35">
        <f>HYPERLINK("https://klasma.github.io/Logging_1460/artfynd/A 29195-2026 artfynd.xlsx", "A 29195-2026")</f>
        <v/>
      </c>
      <c r="W35">
        <f>HYPERLINK("https://klasma.github.io/Logging_1460/kartor/A 29195-2026 karta.png", "A 29195-2026")</f>
        <v/>
      </c>
      <c r="Y35">
        <f>HYPERLINK("https://klasma.github.io/Logging_1460/klagomål/A 29195-2026 FSC-klagomål.docx", "A 29195-2026")</f>
        <v/>
      </c>
      <c r="Z35">
        <f>HYPERLINK("https://klasma.github.io/Logging_1460/klagomålsmail/A 29195-2026 FSC-klagomål mail.docx", "A 29195-2026")</f>
        <v/>
      </c>
      <c r="AA35">
        <f>HYPERLINK("https://klasma.github.io/Logging_1460/tillsyn/A 29195-2026 tillsynsbegäran.docx", "A 29195-2026")</f>
        <v/>
      </c>
      <c r="AB35">
        <f>HYPERLINK("https://klasma.github.io/Logging_1460/tillsynsmail/A 29195-2026 tillsynsbegäran mail.docx", "A 29195-2026")</f>
        <v/>
      </c>
      <c r="AC35">
        <f>HYPERLINK("https://klasma.github.io/Logging_1460/fåglar/A 29195-2026 prioriterade fågelarter.docx", "A 29195-2026")</f>
        <v/>
      </c>
    </row>
    <row r="36" ht="15" customHeight="1">
      <c r="A36" t="inlineStr">
        <is>
          <t>A 10233-2026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46076</v>
      </c>
      <c r="E36" s="1" t="n">
        <v>46218</v>
      </c>
      <c r="F36" t="inlineStr">
        <is>
          <t>VÄSTRA GÖTALANDS LÄN</t>
        </is>
      </c>
      <c r="G36" t="inlineStr">
        <is>
          <t>BENGTSFORS</t>
        </is>
      </c>
      <c r="I36" t="n">
        <v>4</v>
      </c>
      <c r="J36" t="n">
        <v>0</v>
      </c>
      <c r="K36" t="n">
        <v>3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3</v>
      </c>
      <c r="T36" t="n">
        <v>3</v>
      </c>
      <c r="U36" s="2" t="inlineStr">
        <is>
          <t>Fällmossa
Guldlockmossa
Scytinium lichenoides s.lat.</t>
        </is>
      </c>
      <c r="V36">
        <f>HYPERLINK("https://klasma.github.io/Logging_1460/artfynd/A 10233-2026 artfynd.xlsx", "A 10233-2026")</f>
        <v/>
      </c>
      <c r="W36">
        <f>HYPERLINK("https://klasma.github.io/Logging_1460/kartor/A 10233-2026 karta.png", "A 10233-2026")</f>
        <v/>
      </c>
      <c r="Y36">
        <f>HYPERLINK("https://klasma.github.io/Logging_1460/klagomål/A 10233-2026 FSC-klagomål.docx", "A 10233-2026")</f>
        <v/>
      </c>
      <c r="Z36">
        <f>HYPERLINK("https://klasma.github.io/Logging_1460/klagomålsmail/A 10233-2026 FSC-klagomål mail.docx", "A 10233-2026")</f>
        <v/>
      </c>
      <c r="AA36">
        <f>HYPERLINK("https://klasma.github.io/Logging_1460/tillsyn/A 10233-2026 tillsynsbegäran.docx", "A 10233-2026")</f>
        <v/>
      </c>
      <c r="AB36">
        <f>HYPERLINK("https://klasma.github.io/Logging_1460/tillsynsmail/A 10233-2026 tillsynsbegäran mail.docx", "A 10233-2026")</f>
        <v/>
      </c>
    </row>
    <row r="37" ht="15" customHeight="1">
      <c r="A37" t="inlineStr">
        <is>
          <t>A 1582-2022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44573</v>
      </c>
      <c r="E37" s="1" t="n">
        <v>46218</v>
      </c>
      <c r="F37" t="inlineStr">
        <is>
          <t>VÄSTRA GÖTALANDS LÄN</t>
        </is>
      </c>
      <c r="G37" t="inlineStr">
        <is>
          <t>BENGTSFORS</t>
        </is>
      </c>
      <c r="I37" t="n">
        <v>3</v>
      </c>
      <c r="J37" t="n">
        <v>3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3</v>
      </c>
      <c r="T37" t="n">
        <v>5</v>
      </c>
      <c r="U37" s="2" t="inlineStr">
        <is>
          <t>Spillkråka
Grönsiska
Kungsfågel</t>
        </is>
      </c>
      <c r="V37">
        <f>HYPERLINK("https://klasma.github.io/Logging_1460/artfynd/A 1582-2022 artfynd.xlsx", "A 1582-2022")</f>
        <v/>
      </c>
      <c r="W37">
        <f>HYPERLINK("https://klasma.github.io/Logging_1460/kartor/A 1582-2022 karta.png", "A 1582-2022")</f>
        <v/>
      </c>
      <c r="Y37">
        <f>HYPERLINK("https://klasma.github.io/Logging_1460/klagomål/A 1582-2022 FSC-klagomål.docx", "A 1582-2022")</f>
        <v/>
      </c>
      <c r="Z37">
        <f>HYPERLINK("https://klasma.github.io/Logging_1460/klagomålsmail/A 1582-2022 FSC-klagomål mail.docx", "A 1582-2022")</f>
        <v/>
      </c>
      <c r="AA37">
        <f>HYPERLINK("https://klasma.github.io/Logging_1460/tillsyn/A 1582-2022 tillsynsbegäran.docx", "A 1582-2022")</f>
        <v/>
      </c>
      <c r="AB37">
        <f>HYPERLINK("https://klasma.github.io/Logging_1460/tillsynsmail/A 1582-2022 tillsynsbegäran mail.docx", "A 1582-2022")</f>
        <v/>
      </c>
      <c r="AC37">
        <f>HYPERLINK("https://klasma.github.io/Logging_1460/fåglar/A 1582-2022 prioriterade fågelarter.docx", "A 1582-2022")</f>
        <v/>
      </c>
    </row>
    <row r="38" ht="15" customHeight="1">
      <c r="A38" t="inlineStr">
        <is>
          <t>S 82-2025</t>
        </is>
      </c>
      <c r="B38" t="inlineStr">
        <is>
          <t>samrådsanmälan</t>
        </is>
      </c>
      <c r="C38" t="inlineStr">
        <is>
          <t>Annan skogsbruksåtgärd</t>
        </is>
      </c>
      <c r="D38" s="1" t="n">
        <v>45671</v>
      </c>
      <c r="E38" s="1" t="n">
        <v>46218</v>
      </c>
      <c r="F38" t="inlineStr">
        <is>
          <t>VÄSTRA GÖTALANDS LÄN</t>
        </is>
      </c>
      <c r="G38" t="inlineStr">
        <is>
          <t>BENGTSFORS</t>
        </is>
      </c>
      <c r="I38" t="n">
        <v>33.9</v>
      </c>
      <c r="J38" t="n">
        <v>0</v>
      </c>
      <c r="K38" t="n">
        <v>2</v>
      </c>
      <c r="L38" t="n">
        <v>0</v>
      </c>
      <c r="M38" t="n">
        <v>0</v>
      </c>
      <c r="N38" t="n">
        <v>1</v>
      </c>
      <c r="O38" t="n">
        <v>0</v>
      </c>
      <c r="P38" t="n">
        <v>0</v>
      </c>
      <c r="Q38" t="n">
        <v>1</v>
      </c>
      <c r="R38" t="n">
        <v>1</v>
      </c>
      <c r="S38" t="n">
        <v>3</v>
      </c>
      <c r="T38" t="n">
        <v>6</v>
      </c>
      <c r="U38" s="2" t="inlineStr">
        <is>
          <t>Skogsalm
Grov baronmossa
Platt fjädermossa</t>
        </is>
      </c>
      <c r="V38">
        <f>HYPERLINK("https://klasma.github.io/Logging_1460/artfynd/S 82-2025 artfynd.xlsx", "S 82-2025")</f>
        <v/>
      </c>
      <c r="W38">
        <f>HYPERLINK("https://klasma.github.io/Logging_1460/kartor/S 82-2025 karta.png", "S 82-2025")</f>
        <v/>
      </c>
      <c r="Y38">
        <f>HYPERLINK("https://klasma.github.io/Logging_1460/klagomål/S 82-2025 FSC-klagomål.docx", "S 82-2025")</f>
        <v/>
      </c>
      <c r="Z38">
        <f>HYPERLINK("https://klasma.github.io/Logging_1460/klagomålsmail/S 82-2025 FSC-klagomål mail.docx", "S 82-2025")</f>
        <v/>
      </c>
      <c r="AA38">
        <f>HYPERLINK("https://klasma.github.io/Logging_1460/tillsyn/S 82-2025 tillsynsbegäran.docx", "S 82-2025")</f>
        <v/>
      </c>
      <c r="AB38">
        <f>HYPERLINK("https://klasma.github.io/Logging_1460/tillsynsmail/S 82-2025 tillsynsbegäran mail.docx", "S 82-2025")</f>
        <v/>
      </c>
    </row>
    <row r="39" ht="15" customHeight="1">
      <c r="A39" t="inlineStr">
        <is>
          <t>A 29220-2022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44750</v>
      </c>
      <c r="E39" s="1" t="n">
        <v>46218</v>
      </c>
      <c r="F39" t="inlineStr">
        <is>
          <t>VÄSTRA GÖTALANDS LÄN</t>
        </is>
      </c>
      <c r="G39" t="inlineStr">
        <is>
          <t>BENGTSFORS</t>
        </is>
      </c>
      <c r="I39" t="n">
        <v>6.6</v>
      </c>
      <c r="J39" t="n">
        <v>1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2</v>
      </c>
      <c r="T39" t="n">
        <v>2</v>
      </c>
      <c r="U39" s="2" t="inlineStr">
        <is>
          <t>Vedtrappmossa
Vanlig padda</t>
        </is>
      </c>
      <c r="V39">
        <f>HYPERLINK("https://klasma.github.io/Logging_1460/artfynd/A 29220-2022 artfynd.xlsx", "A 29220-2022")</f>
        <v/>
      </c>
      <c r="W39">
        <f>HYPERLINK("https://klasma.github.io/Logging_1460/kartor/A 29220-2022 karta.png", "A 29220-2022")</f>
        <v/>
      </c>
      <c r="Y39">
        <f>HYPERLINK("https://klasma.github.io/Logging_1460/klagomål/A 29220-2022 FSC-klagomål.docx", "A 29220-2022")</f>
        <v/>
      </c>
      <c r="Z39">
        <f>HYPERLINK("https://klasma.github.io/Logging_1460/klagomålsmail/A 29220-2022 FSC-klagomål mail.docx", "A 29220-2022")</f>
        <v/>
      </c>
      <c r="AA39">
        <f>HYPERLINK("https://klasma.github.io/Logging_1460/tillsyn/A 29220-2022 tillsynsbegäran.docx", "A 29220-2022")</f>
        <v/>
      </c>
      <c r="AB39">
        <f>HYPERLINK("https://klasma.github.io/Logging_1460/tillsynsmail/A 29220-2022 tillsynsbegäran mail.docx", "A 29220-2022")</f>
        <v/>
      </c>
    </row>
    <row r="40" ht="15" customHeight="1">
      <c r="A40" t="inlineStr">
        <is>
          <t>A 49689-2023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45212</v>
      </c>
      <c r="E40" s="1" t="n">
        <v>46218</v>
      </c>
      <c r="F40" t="inlineStr">
        <is>
          <t>VÄSTRA GÖTALANDS LÄN</t>
        </is>
      </c>
      <c r="G40" t="inlineStr">
        <is>
          <t>BENGTSFORS</t>
        </is>
      </c>
      <c r="I40" t="n">
        <v>6.9</v>
      </c>
      <c r="J40" t="n">
        <v>1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2</v>
      </c>
      <c r="T40" t="n">
        <v>3</v>
      </c>
      <c r="U40" s="2" t="inlineStr">
        <is>
          <t>Dropptaggsvamp
Revlummer</t>
        </is>
      </c>
      <c r="V40">
        <f>HYPERLINK("https://klasma.github.io/Logging_1460/artfynd/A 49689-2023 artfynd.xlsx", "A 49689-2023")</f>
        <v/>
      </c>
      <c r="W40">
        <f>HYPERLINK("https://klasma.github.io/Logging_1460/kartor/A 49689-2023 karta.png", "A 49689-2023")</f>
        <v/>
      </c>
      <c r="Y40">
        <f>HYPERLINK("https://klasma.github.io/Logging_1460/klagomål/A 49689-2023 FSC-klagomål.docx", "A 49689-2023")</f>
        <v/>
      </c>
      <c r="Z40">
        <f>HYPERLINK("https://klasma.github.io/Logging_1460/klagomålsmail/A 49689-2023 FSC-klagomål mail.docx", "A 49689-2023")</f>
        <v/>
      </c>
      <c r="AA40">
        <f>HYPERLINK("https://klasma.github.io/Logging_1460/tillsyn/A 49689-2023 tillsynsbegäran.docx", "A 49689-2023")</f>
        <v/>
      </c>
      <c r="AB40">
        <f>HYPERLINK("https://klasma.github.io/Logging_1460/tillsynsmail/A 49689-2023 tillsynsbegäran mail.docx", "A 49689-2023")</f>
        <v/>
      </c>
    </row>
    <row r="41" ht="15" customHeight="1">
      <c r="A41" t="inlineStr">
        <is>
          <t>A 13810-2022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44649</v>
      </c>
      <c r="E41" s="1" t="n">
        <v>46218</v>
      </c>
      <c r="F41" t="inlineStr">
        <is>
          <t>VÄSTRA GÖTALANDS LÄN</t>
        </is>
      </c>
      <c r="G41" t="inlineStr">
        <is>
          <t>BENGTSFORS</t>
        </is>
      </c>
      <c r="I41" t="n">
        <v>2.6</v>
      </c>
      <c r="J41" t="n">
        <v>0</v>
      </c>
      <c r="K41" t="n">
        <v>2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2</v>
      </c>
      <c r="T41" t="n">
        <v>2</v>
      </c>
      <c r="U41" s="2" t="inlineStr">
        <is>
          <t>Bårdlav
Vedticka</t>
        </is>
      </c>
      <c r="V41">
        <f>HYPERLINK("https://klasma.github.io/Logging_1460/artfynd/A 13810-2022 artfynd.xlsx", "A 13810-2022")</f>
        <v/>
      </c>
      <c r="W41">
        <f>HYPERLINK("https://klasma.github.io/Logging_1460/kartor/A 13810-2022 karta.png", "A 13810-2022")</f>
        <v/>
      </c>
      <c r="Y41">
        <f>HYPERLINK("https://klasma.github.io/Logging_1460/klagomål/A 13810-2022 FSC-klagomål.docx", "A 13810-2022")</f>
        <v/>
      </c>
      <c r="Z41">
        <f>HYPERLINK("https://klasma.github.io/Logging_1460/klagomålsmail/A 13810-2022 FSC-klagomål mail.docx", "A 13810-2022")</f>
        <v/>
      </c>
      <c r="AA41">
        <f>HYPERLINK("https://klasma.github.io/Logging_1460/tillsyn/A 13810-2022 tillsynsbegäran.docx", "A 13810-2022")</f>
        <v/>
      </c>
      <c r="AB41">
        <f>HYPERLINK("https://klasma.github.io/Logging_1460/tillsynsmail/A 13810-2022 tillsynsbegäran mail.docx", "A 13810-2022")</f>
        <v/>
      </c>
    </row>
    <row r="42" ht="15" customHeight="1">
      <c r="A42" t="inlineStr">
        <is>
          <t>A 15556-2024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45401</v>
      </c>
      <c r="E42" s="1" t="n">
        <v>46218</v>
      </c>
      <c r="F42" t="inlineStr">
        <is>
          <t>VÄSTRA GÖTALANDS LÄN</t>
        </is>
      </c>
      <c r="G42" t="inlineStr">
        <is>
          <t>BENGTSFORS</t>
        </is>
      </c>
      <c r="I42" t="n">
        <v>2.7</v>
      </c>
      <c r="J42" t="n">
        <v>1</v>
      </c>
      <c r="K42" t="n">
        <v>0</v>
      </c>
      <c r="L42" t="n">
        <v>0</v>
      </c>
      <c r="M42" t="n">
        <v>1</v>
      </c>
      <c r="N42" t="n">
        <v>0</v>
      </c>
      <c r="O42" t="n">
        <v>0</v>
      </c>
      <c r="P42" t="n">
        <v>0</v>
      </c>
      <c r="Q42" t="n">
        <v>1</v>
      </c>
      <c r="R42" t="n">
        <v>1</v>
      </c>
      <c r="S42" t="n">
        <v>2</v>
      </c>
      <c r="T42" t="n">
        <v>2</v>
      </c>
      <c r="U42" s="2" t="inlineStr">
        <is>
          <t>Slåttergubbe
Grönvit nattviol</t>
        </is>
      </c>
      <c r="V42">
        <f>HYPERLINK("https://klasma.github.io/Logging_1460/artfynd/A 15556-2024 artfynd.xlsx", "A 15556-2024")</f>
        <v/>
      </c>
      <c r="W42">
        <f>HYPERLINK("https://klasma.github.io/Logging_1460/kartor/A 15556-2024 karta.png", "A 15556-2024")</f>
        <v/>
      </c>
      <c r="Y42">
        <f>HYPERLINK("https://klasma.github.io/Logging_1460/klagomål/A 15556-2024 FSC-klagomål.docx", "A 15556-2024")</f>
        <v/>
      </c>
      <c r="Z42">
        <f>HYPERLINK("https://klasma.github.io/Logging_1460/klagomålsmail/A 15556-2024 FSC-klagomål mail.docx", "A 15556-2024")</f>
        <v/>
      </c>
      <c r="AA42">
        <f>HYPERLINK("https://klasma.github.io/Logging_1460/tillsyn/A 15556-2024 tillsynsbegäran.docx", "A 15556-2024")</f>
        <v/>
      </c>
      <c r="AB42">
        <f>HYPERLINK("https://klasma.github.io/Logging_1460/tillsynsmail/A 15556-2024 tillsynsbegäran mail.docx", "A 15556-2024")</f>
        <v/>
      </c>
    </row>
    <row r="43" ht="15" customHeight="1">
      <c r="A43" t="inlineStr">
        <is>
          <t>A 12076-2023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44997</v>
      </c>
      <c r="E43" s="1" t="n">
        <v>46218</v>
      </c>
      <c r="F43" t="inlineStr">
        <is>
          <t>VÄSTRA GÖTALANDS LÄN</t>
        </is>
      </c>
      <c r="G43" t="inlineStr">
        <is>
          <t>BENGTSFORS</t>
        </is>
      </c>
      <c r="I43" t="n">
        <v>5.5</v>
      </c>
      <c r="J43" t="n">
        <v>2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2</v>
      </c>
      <c r="T43" t="n">
        <v>9</v>
      </c>
      <c r="U43" s="2" t="inlineStr">
        <is>
          <t>Rödvingetrast
Vanlig groda</t>
        </is>
      </c>
      <c r="V43">
        <f>HYPERLINK("https://klasma.github.io/Logging_1460/artfynd/A 12076-2023 artfynd.xlsx", "A 12076-2023")</f>
        <v/>
      </c>
      <c r="W43">
        <f>HYPERLINK("https://klasma.github.io/Logging_1460/kartor/A 12076-2023 karta.png", "A 12076-2023")</f>
        <v/>
      </c>
      <c r="Y43">
        <f>HYPERLINK("https://klasma.github.io/Logging_1460/klagomål/A 12076-2023 FSC-klagomål.docx", "A 12076-2023")</f>
        <v/>
      </c>
      <c r="Z43">
        <f>HYPERLINK("https://klasma.github.io/Logging_1460/klagomålsmail/A 12076-2023 FSC-klagomål mail.docx", "A 12076-2023")</f>
        <v/>
      </c>
      <c r="AA43">
        <f>HYPERLINK("https://klasma.github.io/Logging_1460/tillsyn/A 12076-2023 tillsynsbegäran.docx", "A 12076-2023")</f>
        <v/>
      </c>
      <c r="AB43">
        <f>HYPERLINK("https://klasma.github.io/Logging_1460/tillsynsmail/A 12076-2023 tillsynsbegäran mail.docx", "A 12076-2023")</f>
        <v/>
      </c>
      <c r="AC43">
        <f>HYPERLINK("https://klasma.github.io/Logging_1460/fåglar/A 12076-2023 prioriterade fågelarter.docx", "A 12076-2023")</f>
        <v/>
      </c>
    </row>
    <row r="44" ht="15" customHeight="1">
      <c r="A44" t="inlineStr">
        <is>
          <t>A 24681-2024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45460</v>
      </c>
      <c r="E44" s="1" t="n">
        <v>46218</v>
      </c>
      <c r="F44" t="inlineStr">
        <is>
          <t>VÄSTRA GÖTALANDS LÄN</t>
        </is>
      </c>
      <c r="G44" t="inlineStr">
        <is>
          <t>BENGTSFORS</t>
        </is>
      </c>
      <c r="I44" t="n">
        <v>2.6</v>
      </c>
      <c r="J44" t="n">
        <v>1</v>
      </c>
      <c r="K44" t="n">
        <v>0</v>
      </c>
      <c r="L44" t="n">
        <v>0</v>
      </c>
      <c r="M44" t="n">
        <v>1</v>
      </c>
      <c r="N44" t="n">
        <v>0</v>
      </c>
      <c r="O44" t="n">
        <v>0</v>
      </c>
      <c r="P44" t="n">
        <v>0</v>
      </c>
      <c r="Q44" t="n">
        <v>1</v>
      </c>
      <c r="R44" t="n">
        <v>1</v>
      </c>
      <c r="S44" t="n">
        <v>2</v>
      </c>
      <c r="T44" t="n">
        <v>2</v>
      </c>
      <c r="U44" s="2" t="inlineStr">
        <is>
          <t>Slåttergubbe
Grönvit nattviol</t>
        </is>
      </c>
      <c r="V44">
        <f>HYPERLINK("https://klasma.github.io/Logging_1460/artfynd/A 24681-2024 artfynd.xlsx", "A 24681-2024")</f>
        <v/>
      </c>
      <c r="W44">
        <f>HYPERLINK("https://klasma.github.io/Logging_1460/kartor/A 24681-2024 karta.png", "A 24681-2024")</f>
        <v/>
      </c>
      <c r="Y44">
        <f>HYPERLINK("https://klasma.github.io/Logging_1460/klagomål/A 24681-2024 FSC-klagomål.docx", "A 24681-2024")</f>
        <v/>
      </c>
      <c r="Z44">
        <f>HYPERLINK("https://klasma.github.io/Logging_1460/klagomålsmail/A 24681-2024 FSC-klagomål mail.docx", "A 24681-2024")</f>
        <v/>
      </c>
      <c r="AA44">
        <f>HYPERLINK("https://klasma.github.io/Logging_1460/tillsyn/A 24681-2024 tillsynsbegäran.docx", "A 24681-2024")</f>
        <v/>
      </c>
      <c r="AB44">
        <f>HYPERLINK("https://klasma.github.io/Logging_1460/tillsynsmail/A 24681-2024 tillsynsbegäran mail.docx", "A 24681-2024")</f>
        <v/>
      </c>
    </row>
    <row r="45" ht="15" customHeight="1">
      <c r="A45" t="inlineStr">
        <is>
          <t>A 35280-2025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45854</v>
      </c>
      <c r="E45" s="1" t="n">
        <v>46218</v>
      </c>
      <c r="F45" t="inlineStr">
        <is>
          <t>VÄSTRA GÖTALANDS LÄN</t>
        </is>
      </c>
      <c r="G45" t="inlineStr">
        <is>
          <t>BENGTSFORS</t>
        </is>
      </c>
      <c r="I45" t="n">
        <v>1.3</v>
      </c>
      <c r="J45" t="n">
        <v>0</v>
      </c>
      <c r="K45" t="n">
        <v>0</v>
      </c>
      <c r="L45" t="n">
        <v>2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t="n">
        <v>0</v>
      </c>
      <c r="S45" t="n">
        <v>2</v>
      </c>
      <c r="T45" t="n">
        <v>2</v>
      </c>
      <c r="U45" s="2" t="inlineStr">
        <is>
          <t>Skogsklocka
Svinrot</t>
        </is>
      </c>
      <c r="V45">
        <f>HYPERLINK("https://klasma.github.io/Logging_1460/artfynd/A 35280-2025 artfynd.xlsx", "A 35280-2025")</f>
        <v/>
      </c>
      <c r="W45">
        <f>HYPERLINK("https://klasma.github.io/Logging_1460/kartor/A 35280-2025 karta.png", "A 35280-2025")</f>
        <v/>
      </c>
      <c r="Y45">
        <f>HYPERLINK("https://klasma.github.io/Logging_1460/klagomål/A 35280-2025 FSC-klagomål.docx", "A 35280-2025")</f>
        <v/>
      </c>
      <c r="Z45">
        <f>HYPERLINK("https://klasma.github.io/Logging_1460/klagomålsmail/A 35280-2025 FSC-klagomål mail.docx", "A 35280-2025")</f>
        <v/>
      </c>
      <c r="AA45">
        <f>HYPERLINK("https://klasma.github.io/Logging_1460/tillsyn/A 35280-2025 tillsynsbegäran.docx", "A 35280-2025")</f>
        <v/>
      </c>
      <c r="AB45">
        <f>HYPERLINK("https://klasma.github.io/Logging_1460/tillsynsmail/A 35280-2025 tillsynsbegäran mail.docx", "A 35280-2025")</f>
        <v/>
      </c>
    </row>
    <row r="46" ht="15" customHeight="1">
      <c r="A46" t="inlineStr">
        <is>
          <t>A 29178-2026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46202</v>
      </c>
      <c r="E46" s="1" t="n">
        <v>46218</v>
      </c>
      <c r="F46" t="inlineStr">
        <is>
          <t>VÄSTRA GÖTALANDS LÄN</t>
        </is>
      </c>
      <c r="G46" t="inlineStr">
        <is>
          <t>BENGTSFORS</t>
        </is>
      </c>
      <c r="I46" t="n">
        <v>15.7</v>
      </c>
      <c r="J46" t="n">
        <v>1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2</v>
      </c>
      <c r="T46" t="n">
        <v>6</v>
      </c>
      <c r="U46" s="2" t="inlineStr">
        <is>
          <t>Dropptaggsvamp
Tofsmes</t>
        </is>
      </c>
      <c r="V46">
        <f>HYPERLINK("https://klasma.github.io/Logging_1460/artfynd/A 29178-2026 artfynd.xlsx", "A 29178-2026")</f>
        <v/>
      </c>
      <c r="W46">
        <f>HYPERLINK("https://klasma.github.io/Logging_1460/kartor/A 29178-2026 karta.png", "A 29178-2026")</f>
        <v/>
      </c>
      <c r="Y46">
        <f>HYPERLINK("https://klasma.github.io/Logging_1460/klagomål/A 29178-2026 FSC-klagomål.docx", "A 29178-2026")</f>
        <v/>
      </c>
      <c r="Z46">
        <f>HYPERLINK("https://klasma.github.io/Logging_1460/klagomålsmail/A 29178-2026 FSC-klagomål mail.docx", "A 29178-2026")</f>
        <v/>
      </c>
      <c r="AA46">
        <f>HYPERLINK("https://klasma.github.io/Logging_1460/tillsyn/A 29178-2026 tillsynsbegäran.docx", "A 29178-2026")</f>
        <v/>
      </c>
      <c r="AB46">
        <f>HYPERLINK("https://klasma.github.io/Logging_1460/tillsynsmail/A 29178-2026 tillsynsbegäran mail.docx", "A 29178-2026")</f>
        <v/>
      </c>
    </row>
    <row r="47" ht="15" customHeight="1">
      <c r="A47" t="inlineStr">
        <is>
          <t>A 8223-2026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46064</v>
      </c>
      <c r="E47" s="1" t="n">
        <v>46218</v>
      </c>
      <c r="F47" t="inlineStr">
        <is>
          <t>VÄSTRA GÖTALANDS LÄN</t>
        </is>
      </c>
      <c r="G47" t="inlineStr">
        <is>
          <t>BENGTSFORS</t>
        </is>
      </c>
      <c r="H47" t="inlineStr">
        <is>
          <t>Kyrkan</t>
        </is>
      </c>
      <c r="I47" t="n">
        <v>8.199999999999999</v>
      </c>
      <c r="J47" t="n">
        <v>0</v>
      </c>
      <c r="K47" t="n">
        <v>0</v>
      </c>
      <c r="L47" t="n">
        <v>1</v>
      </c>
      <c r="M47" t="n">
        <v>1</v>
      </c>
      <c r="N47" t="n">
        <v>0</v>
      </c>
      <c r="O47" t="n">
        <v>0</v>
      </c>
      <c r="P47" t="n">
        <v>0</v>
      </c>
      <c r="Q47" t="n">
        <v>2</v>
      </c>
      <c r="R47" t="n">
        <v>1</v>
      </c>
      <c r="S47" t="n">
        <v>2</v>
      </c>
      <c r="T47" t="n">
        <v>2</v>
      </c>
      <c r="U47" s="2" t="inlineStr">
        <is>
          <t>Brunfläckig pärlemorfjäril
Mindre tåtelsmygare</t>
        </is>
      </c>
      <c r="V47">
        <f>HYPERLINK("https://klasma.github.io/Logging_1460/artfynd/A 8223-2026 artfynd.xlsx", "A 8223-2026")</f>
        <v/>
      </c>
      <c r="W47">
        <f>HYPERLINK("https://klasma.github.io/Logging_1460/kartor/A 8223-2026 karta.png", "A 8223-2026")</f>
        <v/>
      </c>
      <c r="Y47">
        <f>HYPERLINK("https://klasma.github.io/Logging_1460/klagomål/A 8223-2026 FSC-klagomål.docx", "A 8223-2026")</f>
        <v/>
      </c>
      <c r="Z47">
        <f>HYPERLINK("https://klasma.github.io/Logging_1460/klagomålsmail/A 8223-2026 FSC-klagomål mail.docx", "A 8223-2026")</f>
        <v/>
      </c>
      <c r="AA47">
        <f>HYPERLINK("https://klasma.github.io/Logging_1460/tillsyn/A 8223-2026 tillsynsbegäran.docx", "A 8223-2026")</f>
        <v/>
      </c>
      <c r="AB47">
        <f>HYPERLINK("https://klasma.github.io/Logging_1460/tillsynsmail/A 8223-2026 tillsynsbegäran mail.docx", "A 8223-2026")</f>
        <v/>
      </c>
    </row>
    <row r="48" ht="15" customHeight="1">
      <c r="A48" t="inlineStr">
        <is>
          <t>A 1577-2022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44573</v>
      </c>
      <c r="E48" s="1" t="n">
        <v>46218</v>
      </c>
      <c r="F48" t="inlineStr">
        <is>
          <t>VÄSTRA GÖTALANDS LÄN</t>
        </is>
      </c>
      <c r="G48" t="inlineStr">
        <is>
          <t>BENGTSFORS</t>
        </is>
      </c>
      <c r="I48" t="n">
        <v>1.4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s="2" t="inlineStr">
        <is>
          <t>Kungsfågel</t>
        </is>
      </c>
      <c r="V48">
        <f>HYPERLINK("https://klasma.github.io/Logging_1460/artfynd/A 1577-2022 artfynd.xlsx", "A 1577-2022")</f>
        <v/>
      </c>
      <c r="W48">
        <f>HYPERLINK("https://klasma.github.io/Logging_1460/kartor/A 1577-2022 karta.png", "A 1577-2022")</f>
        <v/>
      </c>
      <c r="Y48">
        <f>HYPERLINK("https://klasma.github.io/Logging_1460/klagomål/A 1577-2022 FSC-klagomål.docx", "A 1577-2022")</f>
        <v/>
      </c>
      <c r="Z48">
        <f>HYPERLINK("https://klasma.github.io/Logging_1460/klagomålsmail/A 1577-2022 FSC-klagomål mail.docx", "A 1577-2022")</f>
        <v/>
      </c>
      <c r="AA48">
        <f>HYPERLINK("https://klasma.github.io/Logging_1460/tillsyn/A 1577-2022 tillsynsbegäran.docx", "A 1577-2022")</f>
        <v/>
      </c>
      <c r="AB48">
        <f>HYPERLINK("https://klasma.github.io/Logging_1460/tillsynsmail/A 1577-2022 tillsynsbegäran mail.docx", "A 1577-2022")</f>
        <v/>
      </c>
    </row>
    <row r="49" ht="15" customHeight="1">
      <c r="A49" t="inlineStr">
        <is>
          <t>A 63729-2021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44508</v>
      </c>
      <c r="E49" s="1" t="n">
        <v>46218</v>
      </c>
      <c r="F49" t="inlineStr">
        <is>
          <t>VÄSTRA GÖTALANDS LÄN</t>
        </is>
      </c>
      <c r="G49" t="inlineStr">
        <is>
          <t>BENGTSFORS</t>
        </is>
      </c>
      <c r="I49" t="n">
        <v>5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s="2" t="inlineStr">
        <is>
          <t>Grönpyrola</t>
        </is>
      </c>
      <c r="V49">
        <f>HYPERLINK("https://klasma.github.io/Logging_1460/artfynd/A 63729-2021 artfynd.xlsx", "A 63729-2021")</f>
        <v/>
      </c>
      <c r="W49">
        <f>HYPERLINK("https://klasma.github.io/Logging_1460/kartor/A 63729-2021 karta.png", "A 63729-2021")</f>
        <v/>
      </c>
      <c r="Y49">
        <f>HYPERLINK("https://klasma.github.io/Logging_1460/klagomål/A 63729-2021 FSC-klagomål.docx", "A 63729-2021")</f>
        <v/>
      </c>
      <c r="Z49">
        <f>HYPERLINK("https://klasma.github.io/Logging_1460/klagomålsmail/A 63729-2021 FSC-klagomål mail.docx", "A 63729-2021")</f>
        <v/>
      </c>
      <c r="AA49">
        <f>HYPERLINK("https://klasma.github.io/Logging_1460/tillsyn/A 63729-2021 tillsynsbegäran.docx", "A 63729-2021")</f>
        <v/>
      </c>
      <c r="AB49">
        <f>HYPERLINK("https://klasma.github.io/Logging_1460/tillsynsmail/A 63729-2021 tillsynsbegäran mail.docx", "A 63729-2021")</f>
        <v/>
      </c>
    </row>
    <row r="50" ht="15" customHeight="1">
      <c r="A50" t="inlineStr">
        <is>
          <t>A 42213-2022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44830</v>
      </c>
      <c r="E50" s="1" t="n">
        <v>46218</v>
      </c>
      <c r="F50" t="inlineStr">
        <is>
          <t>VÄSTRA GÖTALANDS LÄN</t>
        </is>
      </c>
      <c r="G50" t="inlineStr">
        <is>
          <t>BENGTSFORS</t>
        </is>
      </c>
      <c r="I50" t="n">
        <v>2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s="2" t="inlineStr">
        <is>
          <t>Revlummer</t>
        </is>
      </c>
      <c r="V50">
        <f>HYPERLINK("https://klasma.github.io/Logging_1460/artfynd/A 42213-2022 artfynd.xlsx", "A 42213-2022")</f>
        <v/>
      </c>
      <c r="W50">
        <f>HYPERLINK("https://klasma.github.io/Logging_1460/kartor/A 42213-2022 karta.png", "A 42213-2022")</f>
        <v/>
      </c>
      <c r="Y50">
        <f>HYPERLINK("https://klasma.github.io/Logging_1460/klagomål/A 42213-2022 FSC-klagomål.docx", "A 42213-2022")</f>
        <v/>
      </c>
      <c r="Z50">
        <f>HYPERLINK("https://klasma.github.io/Logging_1460/klagomålsmail/A 42213-2022 FSC-klagomål mail.docx", "A 42213-2022")</f>
        <v/>
      </c>
      <c r="AA50">
        <f>HYPERLINK("https://klasma.github.io/Logging_1460/tillsyn/A 42213-2022 tillsynsbegäran.docx", "A 42213-2022")</f>
        <v/>
      </c>
      <c r="AB50">
        <f>HYPERLINK("https://klasma.github.io/Logging_1460/tillsynsmail/A 42213-2022 tillsynsbegäran mail.docx", "A 42213-2022")</f>
        <v/>
      </c>
    </row>
    <row r="51" ht="15" customHeight="1">
      <c r="A51" t="inlineStr">
        <is>
          <t>A 54839-2023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45236</v>
      </c>
      <c r="E51" s="1" t="n">
        <v>46218</v>
      </c>
      <c r="F51" t="inlineStr">
        <is>
          <t>VÄSTRA GÖTALANDS LÄN</t>
        </is>
      </c>
      <c r="G51" t="inlineStr">
        <is>
          <t>BENGTSFORS</t>
        </is>
      </c>
      <c r="I51" t="n">
        <v>1.8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s="2" t="inlineStr">
        <is>
          <t>Klippfrullania</t>
        </is>
      </c>
      <c r="V51">
        <f>HYPERLINK("https://klasma.github.io/Logging_1460/artfynd/A 54839-2023 artfynd.xlsx", "A 54839-2023")</f>
        <v/>
      </c>
      <c r="W51">
        <f>HYPERLINK("https://klasma.github.io/Logging_1460/kartor/A 54839-2023 karta.png", "A 54839-2023")</f>
        <v/>
      </c>
      <c r="Y51">
        <f>HYPERLINK("https://klasma.github.io/Logging_1460/klagomål/A 54839-2023 FSC-klagomål.docx", "A 54839-2023")</f>
        <v/>
      </c>
      <c r="Z51">
        <f>HYPERLINK("https://klasma.github.io/Logging_1460/klagomålsmail/A 54839-2023 FSC-klagomål mail.docx", "A 54839-2023")</f>
        <v/>
      </c>
      <c r="AA51">
        <f>HYPERLINK("https://klasma.github.io/Logging_1460/tillsyn/A 54839-2023 tillsynsbegäran.docx", "A 54839-2023")</f>
        <v/>
      </c>
      <c r="AB51">
        <f>HYPERLINK("https://klasma.github.io/Logging_1460/tillsynsmail/A 54839-2023 tillsynsbegäran mail.docx", "A 54839-2023")</f>
        <v/>
      </c>
    </row>
    <row r="52" ht="15" customHeight="1">
      <c r="A52" t="inlineStr">
        <is>
          <t>A 5095-2024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45330</v>
      </c>
      <c r="E52" s="1" t="n">
        <v>46218</v>
      </c>
      <c r="F52" t="inlineStr">
        <is>
          <t>VÄSTRA GÖTALANDS LÄN</t>
        </is>
      </c>
      <c r="G52" t="inlineStr">
        <is>
          <t>BENGTSFORS</t>
        </is>
      </c>
      <c r="I52" t="n">
        <v>4.7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7</v>
      </c>
      <c r="U52" s="2" t="inlineStr">
        <is>
          <t>Blåsippa</t>
        </is>
      </c>
      <c r="V52">
        <f>HYPERLINK("https://klasma.github.io/Logging_1460/artfynd/A 5095-2024 artfynd.xlsx", "A 5095-2024")</f>
        <v/>
      </c>
      <c r="W52">
        <f>HYPERLINK("https://klasma.github.io/Logging_1460/kartor/A 5095-2024 karta.png", "A 5095-2024")</f>
        <v/>
      </c>
      <c r="Y52">
        <f>HYPERLINK("https://klasma.github.io/Logging_1460/klagomål/A 5095-2024 FSC-klagomål.docx", "A 5095-2024")</f>
        <v/>
      </c>
      <c r="Z52">
        <f>HYPERLINK("https://klasma.github.io/Logging_1460/klagomålsmail/A 5095-2024 FSC-klagomål mail.docx", "A 5095-2024")</f>
        <v/>
      </c>
      <c r="AA52">
        <f>HYPERLINK("https://klasma.github.io/Logging_1460/tillsyn/A 5095-2024 tillsynsbegäran.docx", "A 5095-2024")</f>
        <v/>
      </c>
      <c r="AB52">
        <f>HYPERLINK("https://klasma.github.io/Logging_1460/tillsynsmail/A 5095-2024 tillsynsbegäran mail.docx", "A 5095-2024")</f>
        <v/>
      </c>
    </row>
    <row r="53" ht="15" customHeight="1">
      <c r="A53" t="inlineStr">
        <is>
          <t>A 41538-2025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45901</v>
      </c>
      <c r="E53" s="1" t="n">
        <v>46218</v>
      </c>
      <c r="F53" t="inlineStr">
        <is>
          <t>VÄSTRA GÖTALANDS LÄN</t>
        </is>
      </c>
      <c r="G53" t="inlineStr">
        <is>
          <t>BENGTSFORS</t>
        </is>
      </c>
      <c r="I53" t="n">
        <v>1.1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s="2" t="inlineStr">
        <is>
          <t>Revlummer</t>
        </is>
      </c>
      <c r="V53">
        <f>HYPERLINK("https://klasma.github.io/Logging_1460/artfynd/A 41538-2025 artfynd.xlsx", "A 41538-2025")</f>
        <v/>
      </c>
      <c r="W53">
        <f>HYPERLINK("https://klasma.github.io/Logging_1460/kartor/A 41538-2025 karta.png", "A 41538-2025")</f>
        <v/>
      </c>
      <c r="Y53">
        <f>HYPERLINK("https://klasma.github.io/Logging_1460/klagomål/A 41538-2025 FSC-klagomål.docx", "A 41538-2025")</f>
        <v/>
      </c>
      <c r="Z53">
        <f>HYPERLINK("https://klasma.github.io/Logging_1460/klagomålsmail/A 41538-2025 FSC-klagomål mail.docx", "A 41538-2025")</f>
        <v/>
      </c>
      <c r="AA53">
        <f>HYPERLINK("https://klasma.github.io/Logging_1460/tillsyn/A 41538-2025 tillsynsbegäran.docx", "A 41538-2025")</f>
        <v/>
      </c>
      <c r="AB53">
        <f>HYPERLINK("https://klasma.github.io/Logging_1460/tillsynsmail/A 41538-2025 tillsynsbegäran mail.docx", "A 41538-2025")</f>
        <v/>
      </c>
    </row>
    <row r="54" ht="15" customHeight="1">
      <c r="A54" t="inlineStr">
        <is>
          <t>A 21300-2023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45062</v>
      </c>
      <c r="E54" s="1" t="n">
        <v>46218</v>
      </c>
      <c r="F54" t="inlineStr">
        <is>
          <t>VÄSTRA GÖTALANDS LÄN</t>
        </is>
      </c>
      <c r="G54" t="inlineStr">
        <is>
          <t>BENGTSFORS</t>
        </is>
      </c>
      <c r="I54" t="n">
        <v>2.3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s="2" t="inlineStr">
        <is>
          <t>Blåsippa</t>
        </is>
      </c>
      <c r="V54">
        <f>HYPERLINK("https://klasma.github.io/Logging_1460/artfynd/A 21300-2023 artfynd.xlsx", "A 21300-2023")</f>
        <v/>
      </c>
      <c r="W54">
        <f>HYPERLINK("https://klasma.github.io/Logging_1460/kartor/A 21300-2023 karta.png", "A 21300-2023")</f>
        <v/>
      </c>
      <c r="Y54">
        <f>HYPERLINK("https://klasma.github.io/Logging_1460/klagomål/A 21300-2023 FSC-klagomål.docx", "A 21300-2023")</f>
        <v/>
      </c>
      <c r="Z54">
        <f>HYPERLINK("https://klasma.github.io/Logging_1460/klagomålsmail/A 21300-2023 FSC-klagomål mail.docx", "A 21300-2023")</f>
        <v/>
      </c>
      <c r="AA54">
        <f>HYPERLINK("https://klasma.github.io/Logging_1460/tillsyn/A 21300-2023 tillsynsbegäran.docx", "A 21300-2023")</f>
        <v/>
      </c>
      <c r="AB54">
        <f>HYPERLINK("https://klasma.github.io/Logging_1460/tillsynsmail/A 21300-2023 tillsynsbegäran mail.docx", "A 21300-2023")</f>
        <v/>
      </c>
    </row>
    <row r="55" ht="15" customHeight="1">
      <c r="A55" t="inlineStr">
        <is>
          <t>A 39804-2021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44417</v>
      </c>
      <c r="E55" s="1" t="n">
        <v>46218</v>
      </c>
      <c r="F55" t="inlineStr">
        <is>
          <t>VÄSTRA GÖTALANDS LÄN</t>
        </is>
      </c>
      <c r="G55" t="inlineStr">
        <is>
          <t>BENGTSFORS</t>
        </is>
      </c>
      <c r="I55" t="n">
        <v>4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s="2" t="inlineStr">
        <is>
          <t>Kambräken</t>
        </is>
      </c>
      <c r="V55">
        <f>HYPERLINK("https://klasma.github.io/Logging_1460/artfynd/A 39804-2021 artfynd.xlsx", "A 39804-2021")</f>
        <v/>
      </c>
      <c r="W55">
        <f>HYPERLINK("https://klasma.github.io/Logging_1460/kartor/A 39804-2021 karta.png", "A 39804-2021")</f>
        <v/>
      </c>
      <c r="Y55">
        <f>HYPERLINK("https://klasma.github.io/Logging_1460/klagomål/A 39804-2021 FSC-klagomål.docx", "A 39804-2021")</f>
        <v/>
      </c>
      <c r="Z55">
        <f>HYPERLINK("https://klasma.github.io/Logging_1460/klagomålsmail/A 39804-2021 FSC-klagomål mail.docx", "A 39804-2021")</f>
        <v/>
      </c>
      <c r="AA55">
        <f>HYPERLINK("https://klasma.github.io/Logging_1460/tillsyn/A 39804-2021 tillsynsbegäran.docx", "A 39804-2021")</f>
        <v/>
      </c>
      <c r="AB55">
        <f>HYPERLINK("https://klasma.github.io/Logging_1460/tillsynsmail/A 39804-2021 tillsynsbegäran mail.docx", "A 39804-2021")</f>
        <v/>
      </c>
    </row>
    <row r="56" ht="15" customHeight="1">
      <c r="A56" t="inlineStr">
        <is>
          <t>A 928-2022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44571</v>
      </c>
      <c r="E56" s="1" t="n">
        <v>46218</v>
      </c>
      <c r="F56" t="inlineStr">
        <is>
          <t>VÄSTRA GÖTALANDS LÄN</t>
        </is>
      </c>
      <c r="G56" t="inlineStr">
        <is>
          <t>BENGTSFORS</t>
        </is>
      </c>
      <c r="I56" t="n">
        <v>7.4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1</v>
      </c>
      <c r="T56" t="n">
        <v>1</v>
      </c>
      <c r="U56" s="2" t="inlineStr">
        <is>
          <t>Tallticka</t>
        </is>
      </c>
      <c r="V56">
        <f>HYPERLINK("https://klasma.github.io/Logging_1460/artfynd/A 928-2022 artfynd.xlsx", "A 928-2022")</f>
        <v/>
      </c>
      <c r="W56">
        <f>HYPERLINK("https://klasma.github.io/Logging_1460/kartor/A 928-2022 karta.png", "A 928-2022")</f>
        <v/>
      </c>
      <c r="Y56">
        <f>HYPERLINK("https://klasma.github.io/Logging_1460/klagomål/A 928-2022 FSC-klagomål.docx", "A 928-2022")</f>
        <v/>
      </c>
      <c r="Z56">
        <f>HYPERLINK("https://klasma.github.io/Logging_1460/klagomålsmail/A 928-2022 FSC-klagomål mail.docx", "A 928-2022")</f>
        <v/>
      </c>
      <c r="AA56">
        <f>HYPERLINK("https://klasma.github.io/Logging_1460/tillsyn/A 928-2022 tillsynsbegäran.docx", "A 928-2022")</f>
        <v/>
      </c>
      <c r="AB56">
        <f>HYPERLINK("https://klasma.github.io/Logging_1460/tillsynsmail/A 928-2022 tillsynsbegäran mail.docx", "A 928-2022")</f>
        <v/>
      </c>
    </row>
    <row r="57" ht="15" customHeight="1">
      <c r="A57" t="inlineStr">
        <is>
          <t>A 31710-2022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44776</v>
      </c>
      <c r="E57" s="1" t="n">
        <v>46218</v>
      </c>
      <c r="F57" t="inlineStr">
        <is>
          <t>VÄSTRA GÖTALANDS LÄN</t>
        </is>
      </c>
      <c r="G57" t="inlineStr">
        <is>
          <t>BENGTSFORS</t>
        </is>
      </c>
      <c r="I57" t="n">
        <v>2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s="2" t="inlineStr">
        <is>
          <t>Blåsippa</t>
        </is>
      </c>
      <c r="V57">
        <f>HYPERLINK("https://klasma.github.io/Logging_1460/artfynd/A 31710-2022 artfynd.xlsx", "A 31710-2022")</f>
        <v/>
      </c>
      <c r="W57">
        <f>HYPERLINK("https://klasma.github.io/Logging_1460/kartor/A 31710-2022 karta.png", "A 31710-2022")</f>
        <v/>
      </c>
      <c r="Y57">
        <f>HYPERLINK("https://klasma.github.io/Logging_1460/klagomål/A 31710-2022 FSC-klagomål.docx", "A 31710-2022")</f>
        <v/>
      </c>
      <c r="Z57">
        <f>HYPERLINK("https://klasma.github.io/Logging_1460/klagomålsmail/A 31710-2022 FSC-klagomål mail.docx", "A 31710-2022")</f>
        <v/>
      </c>
      <c r="AA57">
        <f>HYPERLINK("https://klasma.github.io/Logging_1460/tillsyn/A 31710-2022 tillsynsbegäran.docx", "A 31710-2022")</f>
        <v/>
      </c>
      <c r="AB57">
        <f>HYPERLINK("https://klasma.github.io/Logging_1460/tillsynsmail/A 31710-2022 tillsynsbegäran mail.docx", "A 31710-2022")</f>
        <v/>
      </c>
    </row>
    <row r="58" ht="15" customHeight="1">
      <c r="A58" t="inlineStr">
        <is>
          <t>A 5971-2024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45336</v>
      </c>
      <c r="E58" s="1" t="n">
        <v>46218</v>
      </c>
      <c r="F58" t="inlineStr">
        <is>
          <t>VÄSTRA GÖTALANDS LÄN</t>
        </is>
      </c>
      <c r="G58" t="inlineStr">
        <is>
          <t>BENGTSFORS</t>
        </is>
      </c>
      <c r="I58" t="n">
        <v>3.4</v>
      </c>
      <c r="J58" t="n">
        <v>0</v>
      </c>
      <c r="K58" t="n">
        <v>0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1</v>
      </c>
      <c r="T58" t="n">
        <v>1</v>
      </c>
      <c r="U58" s="2" t="inlineStr">
        <is>
          <t>Tallticka</t>
        </is>
      </c>
      <c r="V58">
        <f>HYPERLINK("https://klasma.github.io/Logging_1460/artfynd/A 5971-2024 artfynd.xlsx", "A 5971-2024")</f>
        <v/>
      </c>
      <c r="W58">
        <f>HYPERLINK("https://klasma.github.io/Logging_1460/kartor/A 5971-2024 karta.png", "A 5971-2024")</f>
        <v/>
      </c>
      <c r="Y58">
        <f>HYPERLINK("https://klasma.github.io/Logging_1460/klagomål/A 5971-2024 FSC-klagomål.docx", "A 5971-2024")</f>
        <v/>
      </c>
      <c r="Z58">
        <f>HYPERLINK("https://klasma.github.io/Logging_1460/klagomålsmail/A 5971-2024 FSC-klagomål mail.docx", "A 5971-2024")</f>
        <v/>
      </c>
      <c r="AA58">
        <f>HYPERLINK("https://klasma.github.io/Logging_1460/tillsyn/A 5971-2024 tillsynsbegäran.docx", "A 5971-2024")</f>
        <v/>
      </c>
      <c r="AB58">
        <f>HYPERLINK("https://klasma.github.io/Logging_1460/tillsynsmail/A 5971-2024 tillsynsbegäran mail.docx", "A 5971-2024")</f>
        <v/>
      </c>
    </row>
    <row r="59" ht="15" customHeight="1">
      <c r="A59" t="inlineStr">
        <is>
          <t>A 48972-2025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45937</v>
      </c>
      <c r="E59" s="1" t="n">
        <v>46218</v>
      </c>
      <c r="F59" t="inlineStr">
        <is>
          <t>VÄSTRA GÖTALANDS LÄN</t>
        </is>
      </c>
      <c r="G59" t="inlineStr">
        <is>
          <t>BENGTSFORS</t>
        </is>
      </c>
      <c r="I59" t="n">
        <v>0.5</v>
      </c>
      <c r="J59" t="n">
        <v>0</v>
      </c>
      <c r="K59" t="n">
        <v>0</v>
      </c>
      <c r="L59" t="n">
        <v>0</v>
      </c>
      <c r="M59" t="n">
        <v>0</v>
      </c>
      <c r="N59" t="n">
        <v>1</v>
      </c>
      <c r="O59" t="n">
        <v>0</v>
      </c>
      <c r="P59" t="n">
        <v>0</v>
      </c>
      <c r="Q59" t="n">
        <v>1</v>
      </c>
      <c r="R59" t="n">
        <v>1</v>
      </c>
      <c r="S59" t="n">
        <v>1</v>
      </c>
      <c r="T59" t="n">
        <v>3</v>
      </c>
      <c r="U59" s="2" t="inlineStr">
        <is>
          <t>Ask</t>
        </is>
      </c>
      <c r="V59">
        <f>HYPERLINK("https://klasma.github.io/Logging_1460/artfynd/A 48972-2025 artfynd.xlsx", "A 48972-2025")</f>
        <v/>
      </c>
      <c r="W59">
        <f>HYPERLINK("https://klasma.github.io/Logging_1460/kartor/A 48972-2025 karta.png", "A 48972-2025")</f>
        <v/>
      </c>
      <c r="Y59">
        <f>HYPERLINK("https://klasma.github.io/Logging_1460/klagomål/A 48972-2025 FSC-klagomål.docx", "A 48972-2025")</f>
        <v/>
      </c>
      <c r="Z59">
        <f>HYPERLINK("https://klasma.github.io/Logging_1460/klagomålsmail/A 48972-2025 FSC-klagomål mail.docx", "A 48972-2025")</f>
        <v/>
      </c>
      <c r="AA59">
        <f>HYPERLINK("https://klasma.github.io/Logging_1460/tillsyn/A 48972-2025 tillsynsbegäran.docx", "A 48972-2025")</f>
        <v/>
      </c>
      <c r="AB59">
        <f>HYPERLINK("https://klasma.github.io/Logging_1460/tillsynsmail/A 48972-2025 tillsynsbegäran mail.docx", "A 48972-2025")</f>
        <v/>
      </c>
    </row>
    <row r="60" ht="15" customHeight="1">
      <c r="A60" t="inlineStr">
        <is>
          <t>A 51053-2022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44868</v>
      </c>
      <c r="E60" s="1" t="n">
        <v>46218</v>
      </c>
      <c r="F60" t="inlineStr">
        <is>
          <t>VÄSTRA GÖTALANDS LÄN</t>
        </is>
      </c>
      <c r="G60" t="inlineStr">
        <is>
          <t>BENGTSFORS</t>
        </is>
      </c>
      <c r="I60" t="n">
        <v>4.1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s="2" t="inlineStr">
        <is>
          <t>Bronshjon</t>
        </is>
      </c>
      <c r="V60">
        <f>HYPERLINK("https://klasma.github.io/Logging_1460/artfynd/A 51053-2022 artfynd.xlsx", "A 51053-2022")</f>
        <v/>
      </c>
      <c r="W60">
        <f>HYPERLINK("https://klasma.github.io/Logging_1460/kartor/A 51053-2022 karta.png", "A 51053-2022")</f>
        <v/>
      </c>
      <c r="Y60">
        <f>HYPERLINK("https://klasma.github.io/Logging_1460/klagomål/A 51053-2022 FSC-klagomål.docx", "A 51053-2022")</f>
        <v/>
      </c>
      <c r="Z60">
        <f>HYPERLINK("https://klasma.github.io/Logging_1460/klagomålsmail/A 51053-2022 FSC-klagomål mail.docx", "A 51053-2022")</f>
        <v/>
      </c>
      <c r="AA60">
        <f>HYPERLINK("https://klasma.github.io/Logging_1460/tillsyn/A 51053-2022 tillsynsbegäran.docx", "A 51053-2022")</f>
        <v/>
      </c>
      <c r="AB60">
        <f>HYPERLINK("https://klasma.github.io/Logging_1460/tillsynsmail/A 51053-2022 tillsynsbegäran mail.docx", "A 51053-2022")</f>
        <v/>
      </c>
    </row>
    <row r="61" ht="15" customHeight="1">
      <c r="A61" t="inlineStr">
        <is>
          <t>A 8542-2024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45355</v>
      </c>
      <c r="E61" s="1" t="n">
        <v>46218</v>
      </c>
      <c r="F61" t="inlineStr">
        <is>
          <t>VÄSTRA GÖTALANDS LÄN</t>
        </is>
      </c>
      <c r="G61" t="inlineStr">
        <is>
          <t>BENGTSFORS</t>
        </is>
      </c>
      <c r="I61" t="n">
        <v>3.8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s="2" t="inlineStr">
        <is>
          <t>Ärtsångare</t>
        </is>
      </c>
      <c r="V61">
        <f>HYPERLINK("https://klasma.github.io/Logging_1460/artfynd/A 8542-2024 artfynd.xlsx", "A 8542-2024")</f>
        <v/>
      </c>
      <c r="W61">
        <f>HYPERLINK("https://klasma.github.io/Logging_1460/kartor/A 8542-2024 karta.png", "A 8542-2024")</f>
        <v/>
      </c>
      <c r="Y61">
        <f>HYPERLINK("https://klasma.github.io/Logging_1460/klagomål/A 8542-2024 FSC-klagomål.docx", "A 8542-2024")</f>
        <v/>
      </c>
      <c r="Z61">
        <f>HYPERLINK("https://klasma.github.io/Logging_1460/klagomålsmail/A 8542-2024 FSC-klagomål mail.docx", "A 8542-2024")</f>
        <v/>
      </c>
      <c r="AA61">
        <f>HYPERLINK("https://klasma.github.io/Logging_1460/tillsyn/A 8542-2024 tillsynsbegäran.docx", "A 8542-2024")</f>
        <v/>
      </c>
      <c r="AB61">
        <f>HYPERLINK("https://klasma.github.io/Logging_1460/tillsynsmail/A 8542-2024 tillsynsbegäran mail.docx", "A 8542-2024")</f>
        <v/>
      </c>
    </row>
    <row r="62" ht="15" customHeight="1">
      <c r="A62" t="inlineStr">
        <is>
          <t>A 11049-2025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45723</v>
      </c>
      <c r="E62" s="1" t="n">
        <v>46218</v>
      </c>
      <c r="F62" t="inlineStr">
        <is>
          <t>VÄSTRA GÖTALANDS LÄN</t>
        </is>
      </c>
      <c r="G62" t="inlineStr">
        <is>
          <t>BENGTSFORS</t>
        </is>
      </c>
      <c r="I62" t="n">
        <v>0.8</v>
      </c>
      <c r="J62" t="n">
        <v>0</v>
      </c>
      <c r="K62" t="n">
        <v>0</v>
      </c>
      <c r="L62" t="n">
        <v>0</v>
      </c>
      <c r="M62" t="n">
        <v>0</v>
      </c>
      <c r="N62" t="n">
        <v>1</v>
      </c>
      <c r="O62" t="n">
        <v>0</v>
      </c>
      <c r="P62" t="n">
        <v>0</v>
      </c>
      <c r="Q62" t="n">
        <v>1</v>
      </c>
      <c r="R62" t="n">
        <v>1</v>
      </c>
      <c r="S62" t="n">
        <v>1</v>
      </c>
      <c r="T62" t="n">
        <v>1</v>
      </c>
      <c r="U62" s="2" t="inlineStr">
        <is>
          <t>Ask</t>
        </is>
      </c>
      <c r="V62">
        <f>HYPERLINK("https://klasma.github.io/Logging_1460/artfynd/A 11049-2025 artfynd.xlsx", "A 11049-2025")</f>
        <v/>
      </c>
      <c r="W62">
        <f>HYPERLINK("https://klasma.github.io/Logging_1460/kartor/A 11049-2025 karta.png", "A 11049-2025")</f>
        <v/>
      </c>
      <c r="Y62">
        <f>HYPERLINK("https://klasma.github.io/Logging_1460/klagomål/A 11049-2025 FSC-klagomål.docx", "A 11049-2025")</f>
        <v/>
      </c>
      <c r="Z62">
        <f>HYPERLINK("https://klasma.github.io/Logging_1460/klagomålsmail/A 11049-2025 FSC-klagomål mail.docx", "A 11049-2025")</f>
        <v/>
      </c>
      <c r="AA62">
        <f>HYPERLINK("https://klasma.github.io/Logging_1460/tillsyn/A 11049-2025 tillsynsbegäran.docx", "A 11049-2025")</f>
        <v/>
      </c>
      <c r="AB62">
        <f>HYPERLINK("https://klasma.github.io/Logging_1460/tillsynsmail/A 11049-2025 tillsynsbegäran mail.docx", "A 11049-2025")</f>
        <v/>
      </c>
    </row>
    <row r="63" ht="15" customHeight="1">
      <c r="A63" t="inlineStr">
        <is>
          <t>A 28280-2024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45477</v>
      </c>
      <c r="E63" s="1" t="n">
        <v>46218</v>
      </c>
      <c r="F63" t="inlineStr">
        <is>
          <t>VÄSTRA GÖTALANDS LÄN</t>
        </is>
      </c>
      <c r="G63" t="inlineStr">
        <is>
          <t>BENGTSFORS</t>
        </is>
      </c>
      <c r="I63" t="n">
        <v>6.2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1</v>
      </c>
      <c r="U63" s="2" t="inlineStr">
        <is>
          <t>Revlummer</t>
        </is>
      </c>
      <c r="V63">
        <f>HYPERLINK("https://klasma.github.io/Logging_1460/artfynd/A 28280-2024 artfynd.xlsx", "A 28280-2024")</f>
        <v/>
      </c>
      <c r="W63">
        <f>HYPERLINK("https://klasma.github.io/Logging_1460/kartor/A 28280-2024 karta.png", "A 28280-2024")</f>
        <v/>
      </c>
      <c r="Y63">
        <f>HYPERLINK("https://klasma.github.io/Logging_1460/klagomål/A 28280-2024 FSC-klagomål.docx", "A 28280-2024")</f>
        <v/>
      </c>
      <c r="Z63">
        <f>HYPERLINK("https://klasma.github.io/Logging_1460/klagomålsmail/A 28280-2024 FSC-klagomål mail.docx", "A 28280-2024")</f>
        <v/>
      </c>
      <c r="AA63">
        <f>HYPERLINK("https://klasma.github.io/Logging_1460/tillsyn/A 28280-2024 tillsynsbegäran.docx", "A 28280-2024")</f>
        <v/>
      </c>
      <c r="AB63">
        <f>HYPERLINK("https://klasma.github.io/Logging_1460/tillsynsmail/A 28280-2024 tillsynsbegäran mail.docx", "A 28280-2024")</f>
        <v/>
      </c>
    </row>
    <row r="64" ht="15" customHeight="1">
      <c r="A64" t="inlineStr">
        <is>
          <t>A 29226-2022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44750</v>
      </c>
      <c r="E64" s="1" t="n">
        <v>46218</v>
      </c>
      <c r="F64" t="inlineStr">
        <is>
          <t>VÄSTRA GÖTALANDS LÄN</t>
        </is>
      </c>
      <c r="G64" t="inlineStr">
        <is>
          <t>BENGTSFORS</t>
        </is>
      </c>
      <c r="I64" t="n">
        <v>8.1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1</v>
      </c>
      <c r="U64" s="2" t="inlineStr">
        <is>
          <t>Tjäder</t>
        </is>
      </c>
      <c r="V64">
        <f>HYPERLINK("https://klasma.github.io/Logging_1460/artfynd/A 29226-2022 artfynd.xlsx", "A 29226-2022")</f>
        <v/>
      </c>
      <c r="W64">
        <f>HYPERLINK("https://klasma.github.io/Logging_1460/kartor/A 29226-2022 karta.png", "A 29226-2022")</f>
        <v/>
      </c>
      <c r="Y64">
        <f>HYPERLINK("https://klasma.github.io/Logging_1460/klagomål/A 29226-2022 FSC-klagomål.docx", "A 29226-2022")</f>
        <v/>
      </c>
      <c r="Z64">
        <f>HYPERLINK("https://klasma.github.io/Logging_1460/klagomålsmail/A 29226-2022 FSC-klagomål mail.docx", "A 29226-2022")</f>
        <v/>
      </c>
      <c r="AA64">
        <f>HYPERLINK("https://klasma.github.io/Logging_1460/tillsyn/A 29226-2022 tillsynsbegäran.docx", "A 29226-2022")</f>
        <v/>
      </c>
      <c r="AB64">
        <f>HYPERLINK("https://klasma.github.io/Logging_1460/tillsynsmail/A 29226-2022 tillsynsbegäran mail.docx", "A 29226-2022")</f>
        <v/>
      </c>
      <c r="AC64">
        <f>HYPERLINK("https://klasma.github.io/Logging_1460/fåglar/A 29226-2022 prioriterade fågelarter.docx", "A 29226-2022")</f>
        <v/>
      </c>
    </row>
    <row r="65" ht="15" customHeight="1">
      <c r="A65" t="inlineStr">
        <is>
          <t>A 41210-2024</t>
        </is>
      </c>
      <c r="B65" t="inlineStr">
        <is>
          <t>avverkningsanmälan</t>
        </is>
      </c>
      <c r="C65" t="inlineStr">
        <is>
          <t>Avverkning för annat ändamål</t>
        </is>
      </c>
      <c r="D65" s="1" t="n">
        <v>45559</v>
      </c>
      <c r="E65" s="1" t="n">
        <v>46218</v>
      </c>
      <c r="F65" t="inlineStr">
        <is>
          <t>VÄSTRA GÖTALANDS LÄN</t>
        </is>
      </c>
      <c r="G65" t="inlineStr">
        <is>
          <t>BENGTSFORS</t>
        </is>
      </c>
      <c r="I65" t="n">
        <v>1</v>
      </c>
      <c r="J65" t="n">
        <v>0</v>
      </c>
      <c r="K65" t="n">
        <v>0</v>
      </c>
      <c r="L65" t="n">
        <v>1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t="n">
        <v>0</v>
      </c>
      <c r="S65" t="n">
        <v>1</v>
      </c>
      <c r="T65" t="n">
        <v>2</v>
      </c>
      <c r="U65" s="2" t="inlineStr">
        <is>
          <t>Skogsklocka</t>
        </is>
      </c>
      <c r="V65">
        <f>HYPERLINK("https://klasma.github.io/Logging_1460/artfynd/A 41210-2024 artfynd.xlsx", "A 41210-2024")</f>
        <v/>
      </c>
      <c r="W65">
        <f>HYPERLINK("https://klasma.github.io/Logging_1460/kartor/A 41210-2024 karta.png", "A 41210-2024")</f>
        <v/>
      </c>
      <c r="Y65">
        <f>HYPERLINK("https://klasma.github.io/Logging_1460/klagomål/A 41210-2024 FSC-klagomål.docx", "A 41210-2024")</f>
        <v/>
      </c>
      <c r="Z65">
        <f>HYPERLINK("https://klasma.github.io/Logging_1460/klagomålsmail/A 41210-2024 FSC-klagomål mail.docx", "A 41210-2024")</f>
        <v/>
      </c>
      <c r="AA65">
        <f>HYPERLINK("https://klasma.github.io/Logging_1460/tillsyn/A 41210-2024 tillsynsbegäran.docx", "A 41210-2024")</f>
        <v/>
      </c>
      <c r="AB65">
        <f>HYPERLINK("https://klasma.github.io/Logging_1460/tillsynsmail/A 41210-2024 tillsynsbegäran mail.docx", "A 41210-2024")</f>
        <v/>
      </c>
    </row>
    <row r="66" ht="15" customHeight="1">
      <c r="A66" t="inlineStr">
        <is>
          <t>A 19951-2024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45433</v>
      </c>
      <c r="E66" s="1" t="n">
        <v>46218</v>
      </c>
      <c r="F66" t="inlineStr">
        <is>
          <t>VÄSTRA GÖTALANDS LÄN</t>
        </is>
      </c>
      <c r="G66" t="inlineStr">
        <is>
          <t>BENGTSFORS</t>
        </is>
      </c>
      <c r="I66" t="n">
        <v>0</v>
      </c>
      <c r="J66" t="n">
        <v>0</v>
      </c>
      <c r="K66" t="n">
        <v>0</v>
      </c>
      <c r="L66" t="n">
        <v>1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t="n">
        <v>0</v>
      </c>
      <c r="S66" t="n">
        <v>1</v>
      </c>
      <c r="T66" t="n">
        <v>1</v>
      </c>
      <c r="U66" s="2" t="inlineStr">
        <is>
          <t>Skogsklocka</t>
        </is>
      </c>
      <c r="V66">
        <f>HYPERLINK("https://klasma.github.io/Logging_1460/artfynd/A 19951-2024 artfynd.xlsx", "A 19951-2024")</f>
        <v/>
      </c>
      <c r="W66">
        <f>HYPERLINK("https://klasma.github.io/Logging_1460/kartor/A 19951-2024 karta.png", "A 19951-2024")</f>
        <v/>
      </c>
      <c r="Y66">
        <f>HYPERLINK("https://klasma.github.io/Logging_1460/klagomål/A 19951-2024 FSC-klagomål.docx", "A 19951-2024")</f>
        <v/>
      </c>
      <c r="Z66">
        <f>HYPERLINK("https://klasma.github.io/Logging_1460/klagomålsmail/A 19951-2024 FSC-klagomål mail.docx", "A 19951-2024")</f>
        <v/>
      </c>
      <c r="AA66">
        <f>HYPERLINK("https://klasma.github.io/Logging_1460/tillsyn/A 19951-2024 tillsynsbegäran.docx", "A 19951-2024")</f>
        <v/>
      </c>
      <c r="AB66">
        <f>HYPERLINK("https://klasma.github.io/Logging_1460/tillsynsmail/A 19951-2024 tillsynsbegäran mail.docx", "A 19951-2024")</f>
        <v/>
      </c>
    </row>
    <row r="67" ht="15" customHeight="1">
      <c r="A67" t="inlineStr">
        <is>
          <t>A 52560-2021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44466</v>
      </c>
      <c r="E67" s="1" t="n">
        <v>46218</v>
      </c>
      <c r="F67" t="inlineStr">
        <is>
          <t>VÄSTRA GÖTALANDS LÄN</t>
        </is>
      </c>
      <c r="G67" t="inlineStr">
        <is>
          <t>BENGTSFORS</t>
        </is>
      </c>
      <c r="I67" t="n">
        <v>4</v>
      </c>
      <c r="J67" t="n">
        <v>0</v>
      </c>
      <c r="K67" t="n">
        <v>0</v>
      </c>
      <c r="L67" t="n">
        <v>0</v>
      </c>
      <c r="M67" t="n">
        <v>1</v>
      </c>
      <c r="N67" t="n">
        <v>0</v>
      </c>
      <c r="O67" t="n">
        <v>0</v>
      </c>
      <c r="P67" t="n">
        <v>0</v>
      </c>
      <c r="Q67" t="n">
        <v>1</v>
      </c>
      <c r="R67" t="n">
        <v>1</v>
      </c>
      <c r="S67" t="n">
        <v>1</v>
      </c>
      <c r="T67" t="n">
        <v>1</v>
      </c>
      <c r="U67" s="2" t="inlineStr">
        <is>
          <t>Aspgelélav</t>
        </is>
      </c>
      <c r="V67">
        <f>HYPERLINK("https://klasma.github.io/Logging_1460/artfynd/A 52560-2021 artfynd.xlsx", "A 52560-2021")</f>
        <v/>
      </c>
      <c r="W67">
        <f>HYPERLINK("https://klasma.github.io/Logging_1460/kartor/A 52560-2021 karta.png", "A 52560-2021")</f>
        <v/>
      </c>
      <c r="Y67">
        <f>HYPERLINK("https://klasma.github.io/Logging_1460/klagomål/A 52560-2021 FSC-klagomål.docx", "A 52560-2021")</f>
        <v/>
      </c>
      <c r="Z67">
        <f>HYPERLINK("https://klasma.github.io/Logging_1460/klagomålsmail/A 52560-2021 FSC-klagomål mail.docx", "A 52560-2021")</f>
        <v/>
      </c>
      <c r="AA67">
        <f>HYPERLINK("https://klasma.github.io/Logging_1460/tillsyn/A 52560-2021 tillsynsbegäran.docx", "A 52560-2021")</f>
        <v/>
      </c>
      <c r="AB67">
        <f>HYPERLINK("https://klasma.github.io/Logging_1460/tillsynsmail/A 52560-2021 tillsynsbegäran mail.docx", "A 52560-2021")</f>
        <v/>
      </c>
    </row>
    <row r="68" ht="15" customHeight="1">
      <c r="A68" t="inlineStr">
        <is>
          <t>A 29828-2025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45825</v>
      </c>
      <c r="E68" s="1" t="n">
        <v>46218</v>
      </c>
      <c r="F68" t="inlineStr">
        <is>
          <t>VÄSTRA GÖTALANDS LÄN</t>
        </is>
      </c>
      <c r="G68" t="inlineStr">
        <is>
          <t>BENGTSFORS</t>
        </is>
      </c>
      <c r="I68" t="n">
        <v>8.800000000000001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1</v>
      </c>
      <c r="T68" t="n">
        <v>1</v>
      </c>
      <c r="U68" s="2" t="inlineStr">
        <is>
          <t>Stor revmossa</t>
        </is>
      </c>
      <c r="V68">
        <f>HYPERLINK("https://klasma.github.io/Logging_1460/artfynd/A 29828-2025 artfynd.xlsx", "A 29828-2025")</f>
        <v/>
      </c>
      <c r="W68">
        <f>HYPERLINK("https://klasma.github.io/Logging_1460/kartor/A 29828-2025 karta.png", "A 29828-2025")</f>
        <v/>
      </c>
      <c r="Y68">
        <f>HYPERLINK("https://klasma.github.io/Logging_1460/klagomål/A 29828-2025 FSC-klagomål.docx", "A 29828-2025")</f>
        <v/>
      </c>
      <c r="Z68">
        <f>HYPERLINK("https://klasma.github.io/Logging_1460/klagomålsmail/A 29828-2025 FSC-klagomål mail.docx", "A 29828-2025")</f>
        <v/>
      </c>
      <c r="AA68">
        <f>HYPERLINK("https://klasma.github.io/Logging_1460/tillsyn/A 29828-2025 tillsynsbegäran.docx", "A 29828-2025")</f>
        <v/>
      </c>
      <c r="AB68">
        <f>HYPERLINK("https://klasma.github.io/Logging_1460/tillsynsmail/A 29828-2025 tillsynsbegäran mail.docx", "A 29828-2025")</f>
        <v/>
      </c>
    </row>
    <row r="69" ht="15" customHeight="1">
      <c r="A69" t="inlineStr">
        <is>
          <t>A 2504-2024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45313</v>
      </c>
      <c r="E69" s="1" t="n">
        <v>46218</v>
      </c>
      <c r="F69" t="inlineStr">
        <is>
          <t>VÄSTRA GÖTALANDS LÄN</t>
        </is>
      </c>
      <c r="G69" t="inlineStr">
        <is>
          <t>BENGTSFORS</t>
        </is>
      </c>
      <c r="I69" t="n">
        <v>1.3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1</v>
      </c>
      <c r="T69" t="n">
        <v>1</v>
      </c>
      <c r="U69" s="2" t="inlineStr">
        <is>
          <t>Strutbräken</t>
        </is>
      </c>
      <c r="V69">
        <f>HYPERLINK("https://klasma.github.io/Logging_1460/artfynd/A 2504-2024 artfynd.xlsx", "A 2504-2024")</f>
        <v/>
      </c>
      <c r="W69">
        <f>HYPERLINK("https://klasma.github.io/Logging_1460/kartor/A 2504-2024 karta.png", "A 2504-2024")</f>
        <v/>
      </c>
      <c r="Y69">
        <f>HYPERLINK("https://klasma.github.io/Logging_1460/klagomål/A 2504-2024 FSC-klagomål.docx", "A 2504-2024")</f>
        <v/>
      </c>
      <c r="Z69">
        <f>HYPERLINK("https://klasma.github.io/Logging_1460/klagomålsmail/A 2504-2024 FSC-klagomål mail.docx", "A 2504-2024")</f>
        <v/>
      </c>
      <c r="AA69">
        <f>HYPERLINK("https://klasma.github.io/Logging_1460/tillsyn/A 2504-2024 tillsynsbegäran.docx", "A 2504-2024")</f>
        <v/>
      </c>
      <c r="AB69">
        <f>HYPERLINK("https://klasma.github.io/Logging_1460/tillsynsmail/A 2504-2024 tillsynsbegäran mail.docx", "A 2504-2024")</f>
        <v/>
      </c>
    </row>
    <row r="70" ht="15" customHeight="1">
      <c r="A70" t="inlineStr">
        <is>
          <t>A 18086-2024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45420</v>
      </c>
      <c r="E70" s="1" t="n">
        <v>46218</v>
      </c>
      <c r="F70" t="inlineStr">
        <is>
          <t>VÄSTRA GÖTALANDS LÄN</t>
        </is>
      </c>
      <c r="G70" t="inlineStr">
        <is>
          <t>BENGTSFORS</t>
        </is>
      </c>
      <c r="I70" t="n">
        <v>1.3</v>
      </c>
      <c r="J70" t="n">
        <v>1</v>
      </c>
      <c r="K70" t="n">
        <v>0</v>
      </c>
      <c r="L70" t="n">
        <v>0</v>
      </c>
      <c r="M70" t="n">
        <v>1</v>
      </c>
      <c r="N70" t="n">
        <v>0</v>
      </c>
      <c r="O70" t="n">
        <v>0</v>
      </c>
      <c r="P70" t="n">
        <v>0</v>
      </c>
      <c r="Q70" t="n">
        <v>1</v>
      </c>
      <c r="R70" t="n">
        <v>1</v>
      </c>
      <c r="S70" t="n">
        <v>1</v>
      </c>
      <c r="T70" t="n">
        <v>1</v>
      </c>
      <c r="U70" s="2" t="inlineStr">
        <is>
          <t>Knärot</t>
        </is>
      </c>
      <c r="V70">
        <f>HYPERLINK("https://klasma.github.io/Logging_1460/artfynd/A 18086-2024 artfynd.xlsx", "A 18086-2024")</f>
        <v/>
      </c>
      <c r="W70">
        <f>HYPERLINK("https://klasma.github.io/Logging_1460/kartor/A 18086-2024 karta.png", "A 18086-2024")</f>
        <v/>
      </c>
      <c r="X70">
        <f>HYPERLINK("https://klasma.github.io/Logging_1460/knärot/A 18086-2024 karta knärot.png", "A 18086-2024")</f>
        <v/>
      </c>
      <c r="Y70">
        <f>HYPERLINK("https://klasma.github.io/Logging_1460/klagomål/A 18086-2024 FSC-klagomål.docx", "A 18086-2024")</f>
        <v/>
      </c>
      <c r="Z70">
        <f>HYPERLINK("https://klasma.github.io/Logging_1460/klagomålsmail/A 18086-2024 FSC-klagomål mail.docx", "A 18086-2024")</f>
        <v/>
      </c>
      <c r="AA70">
        <f>HYPERLINK("https://klasma.github.io/Logging_1460/tillsyn/A 18086-2024 tillsynsbegäran.docx", "A 18086-2024")</f>
        <v/>
      </c>
      <c r="AB70">
        <f>HYPERLINK("https://klasma.github.io/Logging_1460/tillsynsmail/A 18086-2024 tillsynsbegäran mail.docx", "A 18086-2024")</f>
        <v/>
      </c>
    </row>
    <row r="71" ht="15" customHeight="1">
      <c r="A71" t="inlineStr">
        <is>
          <t>A 33930-2025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45842</v>
      </c>
      <c r="E71" s="1" t="n">
        <v>46218</v>
      </c>
      <c r="F71" t="inlineStr">
        <is>
          <t>VÄSTRA GÖTALANDS LÄN</t>
        </is>
      </c>
      <c r="G71" t="inlineStr">
        <is>
          <t>BENGTSFORS</t>
        </is>
      </c>
      <c r="I71" t="n">
        <v>6.1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1</v>
      </c>
      <c r="T71" t="n">
        <v>4</v>
      </c>
      <c r="U71" s="2" t="inlineStr">
        <is>
          <t>Revlummer</t>
        </is>
      </c>
      <c r="V71">
        <f>HYPERLINK("https://klasma.github.io/Logging_1460/artfynd/A 33930-2025 artfynd.xlsx", "A 33930-2025")</f>
        <v/>
      </c>
      <c r="W71">
        <f>HYPERLINK("https://klasma.github.io/Logging_1460/kartor/A 33930-2025 karta.png", "A 33930-2025")</f>
        <v/>
      </c>
      <c r="Y71">
        <f>HYPERLINK("https://klasma.github.io/Logging_1460/klagomål/A 33930-2025 FSC-klagomål.docx", "A 33930-2025")</f>
        <v/>
      </c>
      <c r="Z71">
        <f>HYPERLINK("https://klasma.github.io/Logging_1460/klagomålsmail/A 33930-2025 FSC-klagomål mail.docx", "A 33930-2025")</f>
        <v/>
      </c>
      <c r="AA71">
        <f>HYPERLINK("https://klasma.github.io/Logging_1460/tillsyn/A 33930-2025 tillsynsbegäran.docx", "A 33930-2025")</f>
        <v/>
      </c>
      <c r="AB71">
        <f>HYPERLINK("https://klasma.github.io/Logging_1460/tillsynsmail/A 33930-2025 tillsynsbegäran mail.docx", "A 33930-2025")</f>
        <v/>
      </c>
    </row>
    <row r="72" ht="15" customHeight="1">
      <c r="A72" t="inlineStr">
        <is>
          <t>A 7682-2025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45706</v>
      </c>
      <c r="E72" s="1" t="n">
        <v>46218</v>
      </c>
      <c r="F72" t="inlineStr">
        <is>
          <t>VÄSTRA GÖTALANDS LÄN</t>
        </is>
      </c>
      <c r="G72" t="inlineStr">
        <is>
          <t>BENGTSFORS</t>
        </is>
      </c>
      <c r="I72" t="n">
        <v>2.6</v>
      </c>
      <c r="J72" t="n">
        <v>1</v>
      </c>
      <c r="K72" t="n">
        <v>0</v>
      </c>
      <c r="L72" t="n">
        <v>1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t="n">
        <v>0</v>
      </c>
      <c r="S72" t="n">
        <v>1</v>
      </c>
      <c r="T72" t="n">
        <v>1</v>
      </c>
      <c r="U72" s="2" t="inlineStr">
        <is>
          <t>Talltita</t>
        </is>
      </c>
      <c r="V72">
        <f>HYPERLINK("https://klasma.github.io/Logging_1460/artfynd/A 7682-2025 artfynd.xlsx", "A 7682-2025")</f>
        <v/>
      </c>
      <c r="W72">
        <f>HYPERLINK("https://klasma.github.io/Logging_1460/kartor/A 7682-2025 karta.png", "A 7682-2025")</f>
        <v/>
      </c>
      <c r="Y72">
        <f>HYPERLINK("https://klasma.github.io/Logging_1460/klagomål/A 7682-2025 FSC-klagomål.docx", "A 7682-2025")</f>
        <v/>
      </c>
      <c r="Z72">
        <f>HYPERLINK("https://klasma.github.io/Logging_1460/klagomålsmail/A 7682-2025 FSC-klagomål mail.docx", "A 7682-2025")</f>
        <v/>
      </c>
      <c r="AA72">
        <f>HYPERLINK("https://klasma.github.io/Logging_1460/tillsyn/A 7682-2025 tillsynsbegäran.docx", "A 7682-2025")</f>
        <v/>
      </c>
      <c r="AB72">
        <f>HYPERLINK("https://klasma.github.io/Logging_1460/tillsynsmail/A 7682-2025 tillsynsbegäran mail.docx", "A 7682-2025")</f>
        <v/>
      </c>
      <c r="AC72">
        <f>HYPERLINK("https://klasma.github.io/Logging_1460/fåglar/A 7682-2025 prioriterade fågelarter.docx", "A 7682-2025")</f>
        <v/>
      </c>
    </row>
    <row r="73" ht="15" customHeight="1">
      <c r="A73" t="inlineStr">
        <is>
          <t>A 28783-2025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45820</v>
      </c>
      <c r="E73" s="1" t="n">
        <v>46218</v>
      </c>
      <c r="F73" t="inlineStr">
        <is>
          <t>VÄSTRA GÖTALANDS LÄN</t>
        </is>
      </c>
      <c r="G73" t="inlineStr">
        <is>
          <t>BENGTSFORS</t>
        </is>
      </c>
      <c r="I73" t="n">
        <v>2.2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1</v>
      </c>
      <c r="T73" t="n">
        <v>1</v>
      </c>
      <c r="U73" s="2" t="inlineStr">
        <is>
          <t>Grönpyrola</t>
        </is>
      </c>
      <c r="V73">
        <f>HYPERLINK("https://klasma.github.io/Logging_1460/artfynd/A 28783-2025 artfynd.xlsx", "A 28783-2025")</f>
        <v/>
      </c>
      <c r="W73">
        <f>HYPERLINK("https://klasma.github.io/Logging_1460/kartor/A 28783-2025 karta.png", "A 28783-2025")</f>
        <v/>
      </c>
      <c r="Y73">
        <f>HYPERLINK("https://klasma.github.io/Logging_1460/klagomål/A 28783-2025 FSC-klagomål.docx", "A 28783-2025")</f>
        <v/>
      </c>
      <c r="Z73">
        <f>HYPERLINK("https://klasma.github.io/Logging_1460/klagomålsmail/A 28783-2025 FSC-klagomål mail.docx", "A 28783-2025")</f>
        <v/>
      </c>
      <c r="AA73">
        <f>HYPERLINK("https://klasma.github.io/Logging_1460/tillsyn/A 28783-2025 tillsynsbegäran.docx", "A 28783-2025")</f>
        <v/>
      </c>
      <c r="AB73">
        <f>HYPERLINK("https://klasma.github.io/Logging_1460/tillsynsmail/A 28783-2025 tillsynsbegäran mail.docx", "A 28783-2025")</f>
        <v/>
      </c>
    </row>
    <row r="74" ht="15" customHeight="1">
      <c r="A74" t="inlineStr">
        <is>
          <t>A 60324-2025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45994</v>
      </c>
      <c r="E74" s="1" t="n">
        <v>46218</v>
      </c>
      <c r="F74" t="inlineStr">
        <is>
          <t>VÄSTRA GÖTALANDS LÄN</t>
        </is>
      </c>
      <c r="G74" t="inlineStr">
        <is>
          <t>BENGTSFORS</t>
        </is>
      </c>
      <c r="I74" t="n">
        <v>1.1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1</v>
      </c>
      <c r="T74" t="n">
        <v>2</v>
      </c>
      <c r="U74" s="2" t="inlineStr">
        <is>
          <t>Tjäder</t>
        </is>
      </c>
      <c r="V74">
        <f>HYPERLINK("https://klasma.github.io/Logging_1460/artfynd/A 60324-2025 artfynd.xlsx", "A 60324-2025")</f>
        <v/>
      </c>
      <c r="W74">
        <f>HYPERLINK("https://klasma.github.io/Logging_1460/kartor/A 60324-2025 karta.png", "A 60324-2025")</f>
        <v/>
      </c>
      <c r="Y74">
        <f>HYPERLINK("https://klasma.github.io/Logging_1460/klagomål/A 60324-2025 FSC-klagomål.docx", "A 60324-2025")</f>
        <v/>
      </c>
      <c r="Z74">
        <f>HYPERLINK("https://klasma.github.io/Logging_1460/klagomålsmail/A 60324-2025 FSC-klagomål mail.docx", "A 60324-2025")</f>
        <v/>
      </c>
      <c r="AA74">
        <f>HYPERLINK("https://klasma.github.io/Logging_1460/tillsyn/A 60324-2025 tillsynsbegäran.docx", "A 60324-2025")</f>
        <v/>
      </c>
      <c r="AB74">
        <f>HYPERLINK("https://klasma.github.io/Logging_1460/tillsynsmail/A 60324-2025 tillsynsbegäran mail.docx", "A 60324-2025")</f>
        <v/>
      </c>
      <c r="AC74">
        <f>HYPERLINK("https://klasma.github.io/Logging_1460/fåglar/A 60324-2025 prioriterade fågelarter.docx", "A 60324-2025")</f>
        <v/>
      </c>
    </row>
    <row r="75" ht="15" customHeight="1">
      <c r="A75" t="inlineStr">
        <is>
          <t>A 56006-2022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44889</v>
      </c>
      <c r="E75" s="1" t="n">
        <v>46218</v>
      </c>
      <c r="F75" t="inlineStr">
        <is>
          <t>VÄSTRA GÖTALANDS LÄN</t>
        </is>
      </c>
      <c r="G75" t="inlineStr">
        <is>
          <t>BENGTSFORS</t>
        </is>
      </c>
      <c r="I75" t="n">
        <v>6.4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1</v>
      </c>
      <c r="T75" t="n">
        <v>1</v>
      </c>
      <c r="U75" s="2" t="inlineStr">
        <is>
          <t>Västlig hakmossa</t>
        </is>
      </c>
      <c r="V75">
        <f>HYPERLINK("https://klasma.github.io/Logging_1460/artfynd/A 56006-2022 artfynd.xlsx", "A 56006-2022")</f>
        <v/>
      </c>
      <c r="W75">
        <f>HYPERLINK("https://klasma.github.io/Logging_1460/kartor/A 56006-2022 karta.png", "A 56006-2022")</f>
        <v/>
      </c>
      <c r="Y75">
        <f>HYPERLINK("https://klasma.github.io/Logging_1460/klagomål/A 56006-2022 FSC-klagomål.docx", "A 56006-2022")</f>
        <v/>
      </c>
      <c r="Z75">
        <f>HYPERLINK("https://klasma.github.io/Logging_1460/klagomålsmail/A 56006-2022 FSC-klagomål mail.docx", "A 56006-2022")</f>
        <v/>
      </c>
      <c r="AA75">
        <f>HYPERLINK("https://klasma.github.io/Logging_1460/tillsyn/A 56006-2022 tillsynsbegäran.docx", "A 56006-2022")</f>
        <v/>
      </c>
      <c r="AB75">
        <f>HYPERLINK("https://klasma.github.io/Logging_1460/tillsynsmail/A 56006-2022 tillsynsbegäran mail.docx", "A 56006-2022")</f>
        <v/>
      </c>
    </row>
    <row r="76" ht="15" customHeight="1">
      <c r="A76" t="inlineStr">
        <is>
          <t>A 29204-2022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44750</v>
      </c>
      <c r="E76" s="1" t="n">
        <v>46218</v>
      </c>
      <c r="F76" t="inlineStr">
        <is>
          <t>VÄSTRA GÖTALANDS LÄN</t>
        </is>
      </c>
      <c r="G76" t="inlineStr">
        <is>
          <t>BENGTSFORS</t>
        </is>
      </c>
      <c r="I76" t="n">
        <v>3.7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1</v>
      </c>
      <c r="T76" t="n">
        <v>1</v>
      </c>
      <c r="U76" s="2" t="inlineStr">
        <is>
          <t>Spillkråka</t>
        </is>
      </c>
      <c r="V76">
        <f>HYPERLINK("https://klasma.github.io/Logging_1460/artfynd/A 29204-2022 artfynd.xlsx", "A 29204-2022")</f>
        <v/>
      </c>
      <c r="W76">
        <f>HYPERLINK("https://klasma.github.io/Logging_1460/kartor/A 29204-2022 karta.png", "A 29204-2022")</f>
        <v/>
      </c>
      <c r="Y76">
        <f>HYPERLINK("https://klasma.github.io/Logging_1460/klagomål/A 29204-2022 FSC-klagomål.docx", "A 29204-2022")</f>
        <v/>
      </c>
      <c r="Z76">
        <f>HYPERLINK("https://klasma.github.io/Logging_1460/klagomålsmail/A 29204-2022 FSC-klagomål mail.docx", "A 29204-2022")</f>
        <v/>
      </c>
      <c r="AA76">
        <f>HYPERLINK("https://klasma.github.io/Logging_1460/tillsyn/A 29204-2022 tillsynsbegäran.docx", "A 29204-2022")</f>
        <v/>
      </c>
      <c r="AB76">
        <f>HYPERLINK("https://klasma.github.io/Logging_1460/tillsynsmail/A 29204-2022 tillsynsbegäran mail.docx", "A 29204-2022")</f>
        <v/>
      </c>
      <c r="AC76">
        <f>HYPERLINK("https://klasma.github.io/Logging_1460/fåglar/A 29204-2022 prioriterade fågelarter.docx", "A 29204-2022")</f>
        <v/>
      </c>
    </row>
    <row r="77" ht="15" customHeight="1">
      <c r="A77" t="inlineStr">
        <is>
          <t>A 53606-2023</t>
        </is>
      </c>
      <c r="B77" t="inlineStr">
        <is>
          <t>avverkningsanmälan</t>
        </is>
      </c>
      <c r="C77" t="inlineStr">
        <is>
          <t>Avverkning för annat ändamål</t>
        </is>
      </c>
      <c r="D77" s="1" t="n">
        <v>45230</v>
      </c>
      <c r="E77" s="1" t="n">
        <v>46218</v>
      </c>
      <c r="F77" t="inlineStr">
        <is>
          <t>VÄSTRA GÖTALANDS LÄN</t>
        </is>
      </c>
      <c r="G77" t="inlineStr">
        <is>
          <t>BENGTSFORS</t>
        </is>
      </c>
      <c r="I77" t="n">
        <v>1.6</v>
      </c>
      <c r="J77" t="n">
        <v>0</v>
      </c>
      <c r="K77" t="n">
        <v>0</v>
      </c>
      <c r="L77" t="n">
        <v>0</v>
      </c>
      <c r="M77" t="n">
        <v>1</v>
      </c>
      <c r="N77" t="n">
        <v>0</v>
      </c>
      <c r="O77" t="n">
        <v>0</v>
      </c>
      <c r="P77" t="n">
        <v>0</v>
      </c>
      <c r="Q77" t="n">
        <v>1</v>
      </c>
      <c r="R77" t="n">
        <v>1</v>
      </c>
      <c r="S77" t="n">
        <v>1</v>
      </c>
      <c r="T77" t="n">
        <v>2</v>
      </c>
      <c r="U77" s="2" t="inlineStr">
        <is>
          <t>Stor skogsbäckmossa</t>
        </is>
      </c>
      <c r="V77">
        <f>HYPERLINK("https://klasma.github.io/Logging_1460/artfynd/A 53606-2023 artfynd.xlsx", "A 53606-2023")</f>
        <v/>
      </c>
      <c r="W77">
        <f>HYPERLINK("https://klasma.github.io/Logging_1460/kartor/A 53606-2023 karta.png", "A 53606-2023")</f>
        <v/>
      </c>
      <c r="Y77">
        <f>HYPERLINK("https://klasma.github.io/Logging_1460/klagomål/A 53606-2023 FSC-klagomål.docx", "A 53606-2023")</f>
        <v/>
      </c>
      <c r="Z77">
        <f>HYPERLINK("https://klasma.github.io/Logging_1460/klagomålsmail/A 53606-2023 FSC-klagomål mail.docx", "A 53606-2023")</f>
        <v/>
      </c>
      <c r="AA77">
        <f>HYPERLINK("https://klasma.github.io/Logging_1460/tillsyn/A 53606-2023 tillsynsbegäran.docx", "A 53606-2023")</f>
        <v/>
      </c>
      <c r="AB77">
        <f>HYPERLINK("https://klasma.github.io/Logging_1460/tillsynsmail/A 53606-2023 tillsynsbegäran mail.docx", "A 53606-2023")</f>
        <v/>
      </c>
    </row>
    <row r="78" ht="15" customHeight="1">
      <c r="A78" t="inlineStr">
        <is>
          <t>A 63909-2025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46020</v>
      </c>
      <c r="E78" s="1" t="n">
        <v>46218</v>
      </c>
      <c r="F78" t="inlineStr">
        <is>
          <t>VÄSTRA GÖTALANDS LÄN</t>
        </is>
      </c>
      <c r="G78" t="inlineStr">
        <is>
          <t>BENGTSFORS</t>
        </is>
      </c>
      <c r="I78" t="n">
        <v>7.7</v>
      </c>
      <c r="J78" t="n">
        <v>0</v>
      </c>
      <c r="K78" t="n">
        <v>0</v>
      </c>
      <c r="L78" t="n">
        <v>1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t="n">
        <v>0</v>
      </c>
      <c r="S78" t="n">
        <v>1</v>
      </c>
      <c r="T78" t="n">
        <v>1</v>
      </c>
      <c r="U78" s="2" t="inlineStr">
        <is>
          <t>Svinrot</t>
        </is>
      </c>
      <c r="V78">
        <f>HYPERLINK("https://klasma.github.io/Logging_1460/artfynd/A 63909-2025 artfynd.xlsx", "A 63909-2025")</f>
        <v/>
      </c>
      <c r="W78">
        <f>HYPERLINK("https://klasma.github.io/Logging_1460/kartor/A 63909-2025 karta.png", "A 63909-2025")</f>
        <v/>
      </c>
      <c r="Y78">
        <f>HYPERLINK("https://klasma.github.io/Logging_1460/klagomål/A 63909-2025 FSC-klagomål.docx", "A 63909-2025")</f>
        <v/>
      </c>
      <c r="Z78">
        <f>HYPERLINK("https://klasma.github.io/Logging_1460/klagomålsmail/A 63909-2025 FSC-klagomål mail.docx", "A 63909-2025")</f>
        <v/>
      </c>
      <c r="AA78">
        <f>HYPERLINK("https://klasma.github.io/Logging_1460/tillsyn/A 63909-2025 tillsynsbegäran.docx", "A 63909-2025")</f>
        <v/>
      </c>
      <c r="AB78">
        <f>HYPERLINK("https://klasma.github.io/Logging_1460/tillsynsmail/A 63909-2025 tillsynsbegäran mail.docx", "A 63909-2025")</f>
        <v/>
      </c>
    </row>
    <row r="79" ht="15" customHeight="1">
      <c r="A79" t="inlineStr">
        <is>
          <t>A 49595-2024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45596</v>
      </c>
      <c r="E79" s="1" t="n">
        <v>46218</v>
      </c>
      <c r="F79" t="inlineStr">
        <is>
          <t>VÄSTRA GÖTALANDS LÄN</t>
        </is>
      </c>
      <c r="G79" t="inlineStr">
        <is>
          <t>BENGTSFORS</t>
        </is>
      </c>
      <c r="I79" t="n">
        <v>3.5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1</v>
      </c>
      <c r="T79" t="n">
        <v>1</v>
      </c>
      <c r="U79" s="2" t="inlineStr">
        <is>
          <t>Trana</t>
        </is>
      </c>
      <c r="V79">
        <f>HYPERLINK("https://klasma.github.io/Logging_1460/artfynd/A 49595-2024 artfynd.xlsx", "A 49595-2024")</f>
        <v/>
      </c>
      <c r="W79">
        <f>HYPERLINK("https://klasma.github.io/Logging_1460/kartor/A 49595-2024 karta.png", "A 49595-2024")</f>
        <v/>
      </c>
      <c r="Y79">
        <f>HYPERLINK("https://klasma.github.io/Logging_1460/klagomål/A 49595-2024 FSC-klagomål.docx", "A 49595-2024")</f>
        <v/>
      </c>
      <c r="Z79">
        <f>HYPERLINK("https://klasma.github.io/Logging_1460/klagomålsmail/A 49595-2024 FSC-klagomål mail.docx", "A 49595-2024")</f>
        <v/>
      </c>
      <c r="AA79">
        <f>HYPERLINK("https://klasma.github.io/Logging_1460/tillsyn/A 49595-2024 tillsynsbegäran.docx", "A 49595-2024")</f>
        <v/>
      </c>
      <c r="AB79">
        <f>HYPERLINK("https://klasma.github.io/Logging_1460/tillsynsmail/A 49595-2024 tillsynsbegäran mail.docx", "A 49595-2024")</f>
        <v/>
      </c>
      <c r="AC79">
        <f>HYPERLINK("https://klasma.github.io/Logging_1460/fåglar/A 49595-2024 prioriterade fågelarter.docx", "A 49595-2024")</f>
        <v/>
      </c>
    </row>
    <row r="80" ht="15" customHeight="1">
      <c r="A80" t="inlineStr">
        <is>
          <t>A 29165-2026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46202</v>
      </c>
      <c r="E80" s="1" t="n">
        <v>46218</v>
      </c>
      <c r="F80" t="inlineStr">
        <is>
          <t>VÄSTRA GÖTALANDS LÄN</t>
        </is>
      </c>
      <c r="G80" t="inlineStr">
        <is>
          <t>BENGTSFORS</t>
        </is>
      </c>
      <c r="I80" t="n">
        <v>2.1</v>
      </c>
      <c r="J80" t="n">
        <v>1</v>
      </c>
      <c r="K80" t="n">
        <v>0</v>
      </c>
      <c r="L80" t="n">
        <v>1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t="n">
        <v>0</v>
      </c>
      <c r="S80" t="n">
        <v>1</v>
      </c>
      <c r="T80" t="n">
        <v>1</v>
      </c>
      <c r="U80" s="2" t="inlineStr">
        <is>
          <t>Talltita</t>
        </is>
      </c>
      <c r="V80">
        <f>HYPERLINK("https://klasma.github.io/Logging_1460/artfynd/A 29165-2026 artfynd.xlsx", "A 29165-2026")</f>
        <v/>
      </c>
      <c r="W80">
        <f>HYPERLINK("https://klasma.github.io/Logging_1460/kartor/A 29165-2026 karta.png", "A 29165-2026")</f>
        <v/>
      </c>
      <c r="Y80">
        <f>HYPERLINK("https://klasma.github.io/Logging_1460/klagomål/A 29165-2026 FSC-klagomål.docx", "A 29165-2026")</f>
        <v/>
      </c>
      <c r="Z80">
        <f>HYPERLINK("https://klasma.github.io/Logging_1460/klagomålsmail/A 29165-2026 FSC-klagomål mail.docx", "A 29165-2026")</f>
        <v/>
      </c>
      <c r="AA80">
        <f>HYPERLINK("https://klasma.github.io/Logging_1460/tillsyn/A 29165-2026 tillsynsbegäran.docx", "A 29165-2026")</f>
        <v/>
      </c>
      <c r="AB80">
        <f>HYPERLINK("https://klasma.github.io/Logging_1460/tillsynsmail/A 29165-2026 tillsynsbegäran mail.docx", "A 29165-2026")</f>
        <v/>
      </c>
      <c r="AC80">
        <f>HYPERLINK("https://klasma.github.io/Logging_1460/fåglar/A 29165-2026 prioriterade fågelarter.docx", "A 29165-2026")</f>
        <v/>
      </c>
    </row>
    <row r="81" ht="15" customHeight="1">
      <c r="A81" t="inlineStr">
        <is>
          <t>A 7325-2026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46058</v>
      </c>
      <c r="E81" s="1" t="n">
        <v>46218</v>
      </c>
      <c r="F81" t="inlineStr">
        <is>
          <t>VÄSTRA GÖTALANDS LÄN</t>
        </is>
      </c>
      <c r="G81" t="inlineStr">
        <is>
          <t>BENGTSFORS</t>
        </is>
      </c>
      <c r="I81" t="n">
        <v>2.3</v>
      </c>
      <c r="J81" t="n">
        <v>0</v>
      </c>
      <c r="K81" t="n">
        <v>0</v>
      </c>
      <c r="L81" t="n">
        <v>1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t="n">
        <v>0</v>
      </c>
      <c r="S81" t="n">
        <v>1</v>
      </c>
      <c r="T81" t="n">
        <v>1</v>
      </c>
      <c r="U81" s="2" t="inlineStr">
        <is>
          <t>Kattfotslav</t>
        </is>
      </c>
      <c r="V81">
        <f>HYPERLINK("https://klasma.github.io/Logging_1460/artfynd/A 7325-2026 artfynd.xlsx", "A 7325-2026")</f>
        <v/>
      </c>
      <c r="W81">
        <f>HYPERLINK("https://klasma.github.io/Logging_1460/kartor/A 7325-2026 karta.png", "A 7325-2026")</f>
        <v/>
      </c>
      <c r="Y81">
        <f>HYPERLINK("https://klasma.github.io/Logging_1460/klagomål/A 7325-2026 FSC-klagomål.docx", "A 7325-2026")</f>
        <v/>
      </c>
      <c r="Z81">
        <f>HYPERLINK("https://klasma.github.io/Logging_1460/klagomålsmail/A 7325-2026 FSC-klagomål mail.docx", "A 7325-2026")</f>
        <v/>
      </c>
      <c r="AA81">
        <f>HYPERLINK("https://klasma.github.io/Logging_1460/tillsyn/A 7325-2026 tillsynsbegäran.docx", "A 7325-2026")</f>
        <v/>
      </c>
      <c r="AB81">
        <f>HYPERLINK("https://klasma.github.io/Logging_1460/tillsynsmail/A 7325-2026 tillsynsbegäran mail.docx", "A 7325-2026")</f>
        <v/>
      </c>
    </row>
    <row r="82" ht="15" customHeight="1">
      <c r="A82" t="inlineStr">
        <is>
          <t>A 8256-2026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46064</v>
      </c>
      <c r="E82" s="1" t="n">
        <v>46218</v>
      </c>
      <c r="F82" t="inlineStr">
        <is>
          <t>VÄSTRA GÖTALANDS LÄN</t>
        </is>
      </c>
      <c r="G82" t="inlineStr">
        <is>
          <t>BENGTSFORS</t>
        </is>
      </c>
      <c r="H82" t="inlineStr">
        <is>
          <t>Kyrkan</t>
        </is>
      </c>
      <c r="I82" t="n">
        <v>1.7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1</v>
      </c>
      <c r="T82" t="n">
        <v>1</v>
      </c>
      <c r="U82" s="2" t="inlineStr">
        <is>
          <t>Brun klibbskivling</t>
        </is>
      </c>
      <c r="V82">
        <f>HYPERLINK("https://klasma.github.io/Logging_1460/artfynd/A 8256-2026 artfynd.xlsx", "A 8256-2026")</f>
        <v/>
      </c>
      <c r="W82">
        <f>HYPERLINK("https://klasma.github.io/Logging_1460/kartor/A 8256-2026 karta.png", "A 8256-2026")</f>
        <v/>
      </c>
      <c r="Y82">
        <f>HYPERLINK("https://klasma.github.io/Logging_1460/klagomål/A 8256-2026 FSC-klagomål.docx", "A 8256-2026")</f>
        <v/>
      </c>
      <c r="Z82">
        <f>HYPERLINK("https://klasma.github.io/Logging_1460/klagomålsmail/A 8256-2026 FSC-klagomål mail.docx", "A 8256-2026")</f>
        <v/>
      </c>
      <c r="AA82">
        <f>HYPERLINK("https://klasma.github.io/Logging_1460/tillsyn/A 8256-2026 tillsynsbegäran.docx", "A 8256-2026")</f>
        <v/>
      </c>
      <c r="AB82">
        <f>HYPERLINK("https://klasma.github.io/Logging_1460/tillsynsmail/A 8256-2026 tillsynsbegäran mail.docx", "A 8256-2026")</f>
        <v/>
      </c>
    </row>
    <row r="83" ht="15" customHeight="1">
      <c r="A83" t="inlineStr">
        <is>
          <t>A 14017-2026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46098</v>
      </c>
      <c r="E83" s="1" t="n">
        <v>46218</v>
      </c>
      <c r="F83" t="inlineStr">
        <is>
          <t>VÄSTRA GÖTALANDS LÄN</t>
        </is>
      </c>
      <c r="G83" t="inlineStr">
        <is>
          <t>BENGTSFORS</t>
        </is>
      </c>
      <c r="H83" t="inlineStr">
        <is>
          <t>Bergvik skog väst AB</t>
        </is>
      </c>
      <c r="I83" t="n">
        <v>2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1</v>
      </c>
      <c r="T83" t="n">
        <v>1</v>
      </c>
      <c r="U83" s="2" t="inlineStr">
        <is>
          <t>Jättesvampmal</t>
        </is>
      </c>
      <c r="V83">
        <f>HYPERLINK("https://klasma.github.io/Logging_1460/artfynd/A 14017-2026 artfynd.xlsx", "A 14017-2026")</f>
        <v/>
      </c>
      <c r="W83">
        <f>HYPERLINK("https://klasma.github.io/Logging_1460/kartor/A 14017-2026 karta.png", "A 14017-2026")</f>
        <v/>
      </c>
      <c r="Y83">
        <f>HYPERLINK("https://klasma.github.io/Logging_1460/klagomål/A 14017-2026 FSC-klagomål.docx", "A 14017-2026")</f>
        <v/>
      </c>
      <c r="Z83">
        <f>HYPERLINK("https://klasma.github.io/Logging_1460/klagomålsmail/A 14017-2026 FSC-klagomål mail.docx", "A 14017-2026")</f>
        <v/>
      </c>
      <c r="AA83">
        <f>HYPERLINK("https://klasma.github.io/Logging_1460/tillsyn/A 14017-2026 tillsynsbegäran.docx", "A 14017-2026")</f>
        <v/>
      </c>
      <c r="AB83">
        <f>HYPERLINK("https://klasma.github.io/Logging_1460/tillsynsmail/A 14017-2026 tillsynsbegäran mail.docx", "A 14017-2026")</f>
        <v/>
      </c>
    </row>
    <row r="84" ht="15" customHeight="1">
      <c r="A84" t="inlineStr">
        <is>
          <t>A 11751-2024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45373</v>
      </c>
      <c r="E84" s="1" t="n">
        <v>46218</v>
      </c>
      <c r="F84" t="inlineStr">
        <is>
          <t>VÄSTRA GÖTALANDS LÄN</t>
        </is>
      </c>
      <c r="G84" t="inlineStr">
        <is>
          <t>BENGTSFORS</t>
        </is>
      </c>
      <c r="I84" t="n">
        <v>2.4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1</v>
      </c>
      <c r="T84" t="n">
        <v>1</v>
      </c>
      <c r="U84" s="2" t="inlineStr">
        <is>
          <t>Gråspett</t>
        </is>
      </c>
      <c r="V84">
        <f>HYPERLINK("https://klasma.github.io/Logging_1460/artfynd/A 11751-2024 artfynd.xlsx", "A 11751-2024")</f>
        <v/>
      </c>
      <c r="W84">
        <f>HYPERLINK("https://klasma.github.io/Logging_1460/kartor/A 11751-2024 karta.png", "A 11751-2024")</f>
        <v/>
      </c>
      <c r="Y84">
        <f>HYPERLINK("https://klasma.github.io/Logging_1460/klagomål/A 11751-2024 FSC-klagomål.docx", "A 11751-2024")</f>
        <v/>
      </c>
      <c r="Z84">
        <f>HYPERLINK("https://klasma.github.io/Logging_1460/klagomålsmail/A 11751-2024 FSC-klagomål mail.docx", "A 11751-2024")</f>
        <v/>
      </c>
      <c r="AA84">
        <f>HYPERLINK("https://klasma.github.io/Logging_1460/tillsyn/A 11751-2024 tillsynsbegäran.docx", "A 11751-2024")</f>
        <v/>
      </c>
      <c r="AB84">
        <f>HYPERLINK("https://klasma.github.io/Logging_1460/tillsynsmail/A 11751-2024 tillsynsbegäran mail.docx", "A 11751-2024")</f>
        <v/>
      </c>
      <c r="AC84">
        <f>HYPERLINK("https://klasma.github.io/Logging_1460/fåglar/A 11751-2024 prioriterade fågelarter.docx", "A 11751-2024")</f>
        <v/>
      </c>
    </row>
    <row r="85" ht="15" customHeight="1">
      <c r="A85" t="inlineStr">
        <is>
          <t>S 597-2024</t>
        </is>
      </c>
      <c r="B85" t="inlineStr">
        <is>
          <t>samrådsanmälan</t>
        </is>
      </c>
      <c r="C85" t="inlineStr">
        <is>
          <t>Askåterföring</t>
        </is>
      </c>
      <c r="D85" s="1" t="n">
        <v>45351</v>
      </c>
      <c r="E85" s="1" t="n">
        <v>46218</v>
      </c>
      <c r="F85" t="inlineStr">
        <is>
          <t>VÄSTRA GÖTALANDS LÄN</t>
        </is>
      </c>
      <c r="G85" t="inlineStr">
        <is>
          <t>BENGTSFORS</t>
        </is>
      </c>
      <c r="I85" t="n">
        <v>86.2</v>
      </c>
      <c r="J85" t="n">
        <v>0</v>
      </c>
      <c r="K85" t="n">
        <v>0</v>
      </c>
      <c r="L85" t="n">
        <v>1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t="n">
        <v>0</v>
      </c>
      <c r="S85" t="n">
        <v>1</v>
      </c>
      <c r="T85" t="n">
        <v>1</v>
      </c>
      <c r="U85" s="2" t="inlineStr">
        <is>
          <t>Dofttaggsvamp</t>
        </is>
      </c>
      <c r="V85">
        <f>HYPERLINK("https://klasma.github.io/Logging_1460/artfynd/S 597-2024 artfynd.xlsx", "S 597-2024")</f>
        <v/>
      </c>
      <c r="W85">
        <f>HYPERLINK("https://klasma.github.io/Logging_1460/kartor/S 597-2024 karta.png", "S 597-2024")</f>
        <v/>
      </c>
      <c r="Y85">
        <f>HYPERLINK("https://klasma.github.io/Logging_1460/klagomål/S 597-2024 FSC-klagomål.docx", "S 597-2024")</f>
        <v/>
      </c>
      <c r="Z85">
        <f>HYPERLINK("https://klasma.github.io/Logging_1460/klagomålsmail/S 597-2024 FSC-klagomål mail.docx", "S 597-2024")</f>
        <v/>
      </c>
      <c r="AA85">
        <f>HYPERLINK("https://klasma.github.io/Logging_1460/tillsyn/S 597-2024 tillsynsbegäran.docx", "S 597-2024")</f>
        <v/>
      </c>
      <c r="AB85">
        <f>HYPERLINK("https://klasma.github.io/Logging_1460/tillsynsmail/S 597-2024 tillsynsbegäran mail.docx", "S 597-2024")</f>
        <v/>
      </c>
    </row>
    <row r="86" ht="15" customHeight="1">
      <c r="A86" t="inlineStr">
        <is>
          <t>A 44356-2022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44839</v>
      </c>
      <c r="E86" s="1" t="n">
        <v>46218</v>
      </c>
      <c r="F86" t="inlineStr">
        <is>
          <t>VÄSTRA GÖTALANDS LÄN</t>
        </is>
      </c>
      <c r="G86" t="inlineStr">
        <is>
          <t>BENGTSFORS</t>
        </is>
      </c>
      <c r="H86" t="inlineStr">
        <is>
          <t>Kommuner</t>
        </is>
      </c>
      <c r="I86" t="n">
        <v>2.2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s="2" t="inlineStr"/>
    </row>
    <row r="87" ht="15" customHeight="1">
      <c r="A87" t="inlineStr">
        <is>
          <t>A 55975-2021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44477</v>
      </c>
      <c r="E87" s="1" t="n">
        <v>46218</v>
      </c>
      <c r="F87" t="inlineStr">
        <is>
          <t>VÄSTRA GÖTALANDS LÄN</t>
        </is>
      </c>
      <c r="G87" t="inlineStr">
        <is>
          <t>BENGTSFORS</t>
        </is>
      </c>
      <c r="I87" t="n">
        <v>0.9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s="2" t="inlineStr"/>
    </row>
    <row r="88" ht="15" customHeight="1">
      <c r="A88" t="inlineStr">
        <is>
          <t>A 29162-2022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44750</v>
      </c>
      <c r="E88" s="1" t="n">
        <v>46218</v>
      </c>
      <c r="F88" t="inlineStr">
        <is>
          <t>VÄSTRA GÖTALANDS LÄN</t>
        </is>
      </c>
      <c r="G88" t="inlineStr">
        <is>
          <t>BENGTSFORS</t>
        </is>
      </c>
      <c r="I88" t="n">
        <v>5.9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s="2" t="inlineStr"/>
    </row>
    <row r="89" ht="15" customHeight="1">
      <c r="A89" t="inlineStr">
        <is>
          <t>A 24185-2022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44725</v>
      </c>
      <c r="E89" s="1" t="n">
        <v>46218</v>
      </c>
      <c r="F89" t="inlineStr">
        <is>
          <t>VÄSTRA GÖTALANDS LÄN</t>
        </is>
      </c>
      <c r="G89" t="inlineStr">
        <is>
          <t>BENGTSFORS</t>
        </is>
      </c>
      <c r="I89" t="n">
        <v>0.5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s="2" t="inlineStr"/>
    </row>
    <row r="90" ht="15" customHeight="1">
      <c r="A90" t="inlineStr">
        <is>
          <t>A 40429-2021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44419</v>
      </c>
      <c r="E90" s="1" t="n">
        <v>46218</v>
      </c>
      <c r="F90" t="inlineStr">
        <is>
          <t>VÄSTRA GÖTALANDS LÄN</t>
        </is>
      </c>
      <c r="G90" t="inlineStr">
        <is>
          <t>BENGTSFORS</t>
        </is>
      </c>
      <c r="H90" t="inlineStr">
        <is>
          <t>Övriga Aktiebolag</t>
        </is>
      </c>
      <c r="I90" t="n">
        <v>1.5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s="2" t="inlineStr"/>
    </row>
    <row r="91" ht="15" customHeight="1">
      <c r="A91" t="inlineStr">
        <is>
          <t>A 50837-2021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44460</v>
      </c>
      <c r="E91" s="1" t="n">
        <v>46218</v>
      </c>
      <c r="F91" t="inlineStr">
        <is>
          <t>VÄSTRA GÖTALANDS LÄN</t>
        </is>
      </c>
      <c r="G91" t="inlineStr">
        <is>
          <t>BENGTSFORS</t>
        </is>
      </c>
      <c r="I91" t="n">
        <v>2.2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s="2" t="inlineStr"/>
    </row>
    <row r="92" ht="15" customHeight="1">
      <c r="A92" t="inlineStr">
        <is>
          <t>A 45847-2021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44441</v>
      </c>
      <c r="E92" s="1" t="n">
        <v>46218</v>
      </c>
      <c r="F92" t="inlineStr">
        <is>
          <t>VÄSTRA GÖTALANDS LÄN</t>
        </is>
      </c>
      <c r="G92" t="inlineStr">
        <is>
          <t>BENGTSFORS</t>
        </is>
      </c>
      <c r="H92" t="inlineStr">
        <is>
          <t>Övriga Aktiebolag</t>
        </is>
      </c>
      <c r="I92" t="n">
        <v>1.7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s="2" t="inlineStr"/>
    </row>
    <row r="93" ht="15" customHeight="1">
      <c r="A93" t="inlineStr">
        <is>
          <t>A 55732-2021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44476</v>
      </c>
      <c r="E93" s="1" t="n">
        <v>46218</v>
      </c>
      <c r="F93" t="inlineStr">
        <is>
          <t>VÄSTRA GÖTALANDS LÄN</t>
        </is>
      </c>
      <c r="G93" t="inlineStr">
        <is>
          <t>BENGTSFORS</t>
        </is>
      </c>
      <c r="I93" t="n">
        <v>1.7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s="2" t="inlineStr"/>
    </row>
    <row r="94" ht="15" customHeight="1">
      <c r="A94" t="inlineStr">
        <is>
          <t>A 63401-2021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44508</v>
      </c>
      <c r="E94" s="1" t="n">
        <v>46218</v>
      </c>
      <c r="F94" t="inlineStr">
        <is>
          <t>VÄSTRA GÖTALANDS LÄN</t>
        </is>
      </c>
      <c r="G94" t="inlineStr">
        <is>
          <t>BENGTSFORS</t>
        </is>
      </c>
      <c r="I94" t="n">
        <v>0.4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s="2" t="inlineStr"/>
    </row>
    <row r="95" ht="15" customHeight="1">
      <c r="A95" t="inlineStr">
        <is>
          <t>A 22704-2022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44714</v>
      </c>
      <c r="E95" s="1" t="n">
        <v>46218</v>
      </c>
      <c r="F95" t="inlineStr">
        <is>
          <t>VÄSTRA GÖTALANDS LÄN</t>
        </is>
      </c>
      <c r="G95" t="inlineStr">
        <is>
          <t>BENGTSFORS</t>
        </is>
      </c>
      <c r="I95" t="n">
        <v>0.5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s="2" t="inlineStr"/>
    </row>
    <row r="96" ht="15" customHeight="1">
      <c r="A96" t="inlineStr">
        <is>
          <t>A 33950-2022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44790</v>
      </c>
      <c r="E96" s="1" t="n">
        <v>46218</v>
      </c>
      <c r="F96" t="inlineStr">
        <is>
          <t>VÄSTRA GÖTALANDS LÄN</t>
        </is>
      </c>
      <c r="G96" t="inlineStr">
        <is>
          <t>BENGTSFORS</t>
        </is>
      </c>
      <c r="I96" t="n">
        <v>1.6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s="2" t="inlineStr"/>
    </row>
    <row r="97" ht="15" customHeight="1">
      <c r="A97" t="inlineStr">
        <is>
          <t>A 19145-2022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44691</v>
      </c>
      <c r="E97" s="1" t="n">
        <v>46218</v>
      </c>
      <c r="F97" t="inlineStr">
        <is>
          <t>VÄSTRA GÖTALANDS LÄN</t>
        </is>
      </c>
      <c r="G97" t="inlineStr">
        <is>
          <t>BENGTSFORS</t>
        </is>
      </c>
      <c r="I97" t="n">
        <v>0.8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s="2" t="inlineStr"/>
    </row>
    <row r="98" ht="15" customHeight="1">
      <c r="A98" t="inlineStr">
        <is>
          <t>A 1114-2022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44571</v>
      </c>
      <c r="E98" s="1" t="n">
        <v>46218</v>
      </c>
      <c r="F98" t="inlineStr">
        <is>
          <t>VÄSTRA GÖTALANDS LÄN</t>
        </is>
      </c>
      <c r="G98" t="inlineStr">
        <is>
          <t>BENGTSFORS</t>
        </is>
      </c>
      <c r="I98" t="n">
        <v>1.1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s="2" t="inlineStr"/>
    </row>
    <row r="99" ht="15" customHeight="1">
      <c r="A99" t="inlineStr">
        <is>
          <t>A 58184-2021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44487</v>
      </c>
      <c r="E99" s="1" t="n">
        <v>46218</v>
      </c>
      <c r="F99" t="inlineStr">
        <is>
          <t>VÄSTRA GÖTALANDS LÄN</t>
        </is>
      </c>
      <c r="G99" t="inlineStr">
        <is>
          <t>BENGTSFORS</t>
        </is>
      </c>
      <c r="I99" t="n">
        <v>3.3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s="2" t="inlineStr"/>
    </row>
    <row r="100" ht="15" customHeight="1">
      <c r="A100" t="inlineStr">
        <is>
          <t>A 73587-2021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44552</v>
      </c>
      <c r="E100" s="1" t="n">
        <v>46218</v>
      </c>
      <c r="F100" t="inlineStr">
        <is>
          <t>VÄSTRA GÖTALANDS LÄN</t>
        </is>
      </c>
      <c r="G100" t="inlineStr">
        <is>
          <t>BENGTSFORS</t>
        </is>
      </c>
      <c r="I100" t="n">
        <v>1.9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s="2" t="inlineStr"/>
    </row>
    <row r="101" ht="15" customHeight="1">
      <c r="A101" t="inlineStr">
        <is>
          <t>A 8676-2022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44613</v>
      </c>
      <c r="E101" s="1" t="n">
        <v>46218</v>
      </c>
      <c r="F101" t="inlineStr">
        <is>
          <t>VÄSTRA GÖTALANDS LÄN</t>
        </is>
      </c>
      <c r="G101" t="inlineStr">
        <is>
          <t>BENGTSFORS</t>
        </is>
      </c>
      <c r="I101" t="n">
        <v>0.7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s="2" t="inlineStr"/>
    </row>
    <row r="102" ht="15" customHeight="1">
      <c r="A102" t="inlineStr">
        <is>
          <t>A 3473-2022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44585</v>
      </c>
      <c r="E102" s="1" t="n">
        <v>46218</v>
      </c>
      <c r="F102" t="inlineStr">
        <is>
          <t>VÄSTRA GÖTALANDS LÄN</t>
        </is>
      </c>
      <c r="G102" t="inlineStr">
        <is>
          <t>BENGTSFORS</t>
        </is>
      </c>
      <c r="I102" t="n">
        <v>1.1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s="2" t="inlineStr"/>
    </row>
    <row r="103" ht="15" customHeight="1">
      <c r="A103" t="inlineStr">
        <is>
          <t>A 42869-2021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44428</v>
      </c>
      <c r="E103" s="1" t="n">
        <v>46218</v>
      </c>
      <c r="F103" t="inlineStr">
        <is>
          <t>VÄSTRA GÖTALANDS LÄN</t>
        </is>
      </c>
      <c r="G103" t="inlineStr">
        <is>
          <t>BENGTSFORS</t>
        </is>
      </c>
      <c r="H103" t="inlineStr">
        <is>
          <t>Kyrkan</t>
        </is>
      </c>
      <c r="I103" t="n">
        <v>2.5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s="2" t="inlineStr"/>
    </row>
    <row r="104" ht="15" customHeight="1">
      <c r="A104" t="inlineStr">
        <is>
          <t>A 58506-2021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44488</v>
      </c>
      <c r="E104" s="1" t="n">
        <v>46218</v>
      </c>
      <c r="F104" t="inlineStr">
        <is>
          <t>VÄSTRA GÖTALANDS LÄN</t>
        </is>
      </c>
      <c r="G104" t="inlineStr">
        <is>
          <t>BENGTSFORS</t>
        </is>
      </c>
      <c r="I104" t="n">
        <v>1.7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s="2" t="inlineStr"/>
    </row>
    <row r="105" ht="15" customHeight="1">
      <c r="A105" t="inlineStr">
        <is>
          <t>A 224-2022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44564</v>
      </c>
      <c r="E105" s="1" t="n">
        <v>46218</v>
      </c>
      <c r="F105" t="inlineStr">
        <is>
          <t>VÄSTRA GÖTALANDS LÄN</t>
        </is>
      </c>
      <c r="G105" t="inlineStr">
        <is>
          <t>BENGTSFORS</t>
        </is>
      </c>
      <c r="I105" t="n">
        <v>5.1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s="2" t="inlineStr"/>
    </row>
    <row r="106" ht="15" customHeight="1">
      <c r="A106" t="inlineStr">
        <is>
          <t>A 1316-2022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44572</v>
      </c>
      <c r="E106" s="1" t="n">
        <v>46218</v>
      </c>
      <c r="F106" t="inlineStr">
        <is>
          <t>VÄSTRA GÖTALANDS LÄN</t>
        </is>
      </c>
      <c r="G106" t="inlineStr">
        <is>
          <t>BENGTSFORS</t>
        </is>
      </c>
      <c r="I106" t="n">
        <v>1.6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s="2" t="inlineStr"/>
    </row>
    <row r="107" ht="15" customHeight="1">
      <c r="A107" t="inlineStr">
        <is>
          <t>A 63734-2021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44508</v>
      </c>
      <c r="E107" s="1" t="n">
        <v>46218</v>
      </c>
      <c r="F107" t="inlineStr">
        <is>
          <t>VÄSTRA GÖTALANDS LÄN</t>
        </is>
      </c>
      <c r="G107" t="inlineStr">
        <is>
          <t>BENGTSFORS</t>
        </is>
      </c>
      <c r="I107" t="n">
        <v>1.1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s="2" t="inlineStr"/>
    </row>
    <row r="108" ht="15" customHeight="1">
      <c r="A108" t="inlineStr">
        <is>
          <t>A 44320-2022</t>
        </is>
      </c>
      <c r="B108" t="inlineStr">
        <is>
          <t>avverkningsanmälan</t>
        </is>
      </c>
      <c r="C108" t="inlineStr">
        <is>
          <t>Avverkning för annat ändamål</t>
        </is>
      </c>
      <c r="D108" s="1" t="n">
        <v>44839</v>
      </c>
      <c r="E108" s="1" t="n">
        <v>46218</v>
      </c>
      <c r="F108" t="inlineStr">
        <is>
          <t>VÄSTRA GÖTALANDS LÄN</t>
        </is>
      </c>
      <c r="G108" t="inlineStr">
        <is>
          <t>BENGTSFORS</t>
        </is>
      </c>
      <c r="I108" t="n">
        <v>0.6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s="2" t="inlineStr"/>
    </row>
    <row r="109" ht="15" customHeight="1">
      <c r="A109" t="inlineStr">
        <is>
          <t>A 37196-2022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44806</v>
      </c>
      <c r="E109" s="1" t="n">
        <v>46218</v>
      </c>
      <c r="F109" t="inlineStr">
        <is>
          <t>VÄSTRA GÖTALANDS LÄN</t>
        </is>
      </c>
      <c r="G109" t="inlineStr">
        <is>
          <t>BENGTSFORS</t>
        </is>
      </c>
      <c r="I109" t="n">
        <v>0.9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s="2" t="inlineStr"/>
    </row>
    <row r="110" ht="15" customHeight="1">
      <c r="A110" t="inlineStr">
        <is>
          <t>A 63485-2021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44508</v>
      </c>
      <c r="E110" s="1" t="n">
        <v>46218</v>
      </c>
      <c r="F110" t="inlineStr">
        <is>
          <t>VÄSTRA GÖTALANDS LÄN</t>
        </is>
      </c>
      <c r="G110" t="inlineStr">
        <is>
          <t>BENGTSFORS</t>
        </is>
      </c>
      <c r="I110" t="n">
        <v>5.1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s="2" t="inlineStr"/>
    </row>
    <row r="111" ht="15" customHeight="1">
      <c r="A111" t="inlineStr">
        <is>
          <t>A 63068-2021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44505</v>
      </c>
      <c r="E111" s="1" t="n">
        <v>46218</v>
      </c>
      <c r="F111" t="inlineStr">
        <is>
          <t>VÄSTRA GÖTALANDS LÄN</t>
        </is>
      </c>
      <c r="G111" t="inlineStr">
        <is>
          <t>BENGTSFORS</t>
        </is>
      </c>
      <c r="I111" t="n">
        <v>2.6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s="2" t="inlineStr"/>
    </row>
    <row r="112" ht="15" customHeight="1">
      <c r="A112" t="inlineStr">
        <is>
          <t>A 42813-2022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44832</v>
      </c>
      <c r="E112" s="1" t="n">
        <v>46218</v>
      </c>
      <c r="F112" t="inlineStr">
        <is>
          <t>VÄSTRA GÖTALANDS LÄN</t>
        </is>
      </c>
      <c r="G112" t="inlineStr">
        <is>
          <t>BENGTSFORS</t>
        </is>
      </c>
      <c r="I112" t="n">
        <v>0.7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s="2" t="inlineStr"/>
    </row>
    <row r="113" ht="15" customHeight="1">
      <c r="A113" t="inlineStr">
        <is>
          <t>A 39818-2021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44417</v>
      </c>
      <c r="E113" s="1" t="n">
        <v>46218</v>
      </c>
      <c r="F113" t="inlineStr">
        <is>
          <t>VÄSTRA GÖTALANDS LÄN</t>
        </is>
      </c>
      <c r="G113" t="inlineStr">
        <is>
          <t>BENGTSFORS</t>
        </is>
      </c>
      <c r="I113" t="n">
        <v>1.2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s="2" t="inlineStr"/>
    </row>
    <row r="114" ht="15" customHeight="1">
      <c r="A114" t="inlineStr">
        <is>
          <t>A 37857-2021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44403</v>
      </c>
      <c r="E114" s="1" t="n">
        <v>46218</v>
      </c>
      <c r="F114" t="inlineStr">
        <is>
          <t>VÄSTRA GÖTALANDS LÄN</t>
        </is>
      </c>
      <c r="G114" t="inlineStr">
        <is>
          <t>BENGTSFORS</t>
        </is>
      </c>
      <c r="I114" t="n">
        <v>2.1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s="2" t="inlineStr"/>
    </row>
    <row r="115" ht="15" customHeight="1">
      <c r="A115" t="inlineStr">
        <is>
          <t>A 47091-2021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44446</v>
      </c>
      <c r="E115" s="1" t="n">
        <v>46218</v>
      </c>
      <c r="F115" t="inlineStr">
        <is>
          <t>VÄSTRA GÖTALANDS LÄN</t>
        </is>
      </c>
      <c r="G115" t="inlineStr">
        <is>
          <t>BENGTSFORS</t>
        </is>
      </c>
      <c r="I115" t="n">
        <v>1.3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s="2" t="inlineStr"/>
    </row>
    <row r="116" ht="15" customHeight="1">
      <c r="A116" t="inlineStr">
        <is>
          <t>A 39105-2021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44412</v>
      </c>
      <c r="E116" s="1" t="n">
        <v>46218</v>
      </c>
      <c r="F116" t="inlineStr">
        <is>
          <t>VÄSTRA GÖTALANDS LÄN</t>
        </is>
      </c>
      <c r="G116" t="inlineStr">
        <is>
          <t>BENGTSFORS</t>
        </is>
      </c>
      <c r="I116" t="n">
        <v>1.2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s="2" t="inlineStr"/>
    </row>
    <row r="117" ht="15" customHeight="1">
      <c r="A117" t="inlineStr">
        <is>
          <t>A 46825-2021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44446</v>
      </c>
      <c r="E117" s="1" t="n">
        <v>46218</v>
      </c>
      <c r="F117" t="inlineStr">
        <is>
          <t>VÄSTRA GÖTALANDS LÄN</t>
        </is>
      </c>
      <c r="G117" t="inlineStr">
        <is>
          <t>BENGTSFORS</t>
        </is>
      </c>
      <c r="I117" t="n">
        <v>8.6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s="2" t="inlineStr"/>
    </row>
    <row r="118" ht="15" customHeight="1">
      <c r="A118" t="inlineStr">
        <is>
          <t>A 49747-2021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44453</v>
      </c>
      <c r="E118" s="1" t="n">
        <v>46218</v>
      </c>
      <c r="F118" t="inlineStr">
        <is>
          <t>VÄSTRA GÖTALANDS LÄN</t>
        </is>
      </c>
      <c r="G118" t="inlineStr">
        <is>
          <t>BENGTSFORS</t>
        </is>
      </c>
      <c r="I118" t="n">
        <v>5.1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s="2" t="inlineStr"/>
    </row>
    <row r="119" ht="15" customHeight="1">
      <c r="A119" t="inlineStr">
        <is>
          <t>A 60849-2021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44497</v>
      </c>
      <c r="E119" s="1" t="n">
        <v>46218</v>
      </c>
      <c r="F119" t="inlineStr">
        <is>
          <t>VÄSTRA GÖTALANDS LÄN</t>
        </is>
      </c>
      <c r="G119" t="inlineStr">
        <is>
          <t>BENGTSFORS</t>
        </is>
      </c>
      <c r="I119" t="n">
        <v>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s="2" t="inlineStr"/>
    </row>
    <row r="120" ht="15" customHeight="1">
      <c r="A120" t="inlineStr">
        <is>
          <t>A 55900-2021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44476</v>
      </c>
      <c r="E120" s="1" t="n">
        <v>46218</v>
      </c>
      <c r="F120" t="inlineStr">
        <is>
          <t>VÄSTRA GÖTALANDS LÄN</t>
        </is>
      </c>
      <c r="G120" t="inlineStr">
        <is>
          <t>BENGTSFORS</t>
        </is>
      </c>
      <c r="I120" t="n">
        <v>10.7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s="2" t="inlineStr"/>
    </row>
    <row r="121" ht="15" customHeight="1">
      <c r="A121" t="inlineStr">
        <is>
          <t>A 19293-2022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44692</v>
      </c>
      <c r="E121" s="1" t="n">
        <v>46218</v>
      </c>
      <c r="F121" t="inlineStr">
        <is>
          <t>VÄSTRA GÖTALANDS LÄN</t>
        </is>
      </c>
      <c r="G121" t="inlineStr">
        <is>
          <t>BENGTSFORS</t>
        </is>
      </c>
      <c r="I121" t="n">
        <v>2.4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s="2" t="inlineStr"/>
    </row>
    <row r="122" ht="15" customHeight="1">
      <c r="A122" t="inlineStr">
        <is>
          <t>A 6586-2022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44601</v>
      </c>
      <c r="E122" s="1" t="n">
        <v>46218</v>
      </c>
      <c r="F122" t="inlineStr">
        <is>
          <t>VÄSTRA GÖTALANDS LÄN</t>
        </is>
      </c>
      <c r="G122" t="inlineStr">
        <is>
          <t>BENGTSFORS</t>
        </is>
      </c>
      <c r="I122" t="n">
        <v>0.9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s="2" t="inlineStr"/>
    </row>
    <row r="123" ht="15" customHeight="1">
      <c r="A123" t="inlineStr">
        <is>
          <t>A 46285-2021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44442</v>
      </c>
      <c r="E123" s="1" t="n">
        <v>46218</v>
      </c>
      <c r="F123" t="inlineStr">
        <is>
          <t>VÄSTRA GÖTALANDS LÄN</t>
        </is>
      </c>
      <c r="G123" t="inlineStr">
        <is>
          <t>BENGTSFORS</t>
        </is>
      </c>
      <c r="I123" t="n">
        <v>2.1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s="2" t="inlineStr"/>
    </row>
    <row r="124" ht="15" customHeight="1">
      <c r="A124" t="inlineStr">
        <is>
          <t>A 19716-2022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44694</v>
      </c>
      <c r="E124" s="1" t="n">
        <v>46218</v>
      </c>
      <c r="F124" t="inlineStr">
        <is>
          <t>VÄSTRA GÖTALANDS LÄN</t>
        </is>
      </c>
      <c r="G124" t="inlineStr">
        <is>
          <t>BENGTSFORS</t>
        </is>
      </c>
      <c r="I124" t="n">
        <v>2.2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s="2" t="inlineStr"/>
    </row>
    <row r="125" ht="15" customHeight="1">
      <c r="A125" t="inlineStr">
        <is>
          <t>A 31715-2022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44776</v>
      </c>
      <c r="E125" s="1" t="n">
        <v>46218</v>
      </c>
      <c r="F125" t="inlineStr">
        <is>
          <t>VÄSTRA GÖTALANDS LÄN</t>
        </is>
      </c>
      <c r="G125" t="inlineStr">
        <is>
          <t>BENGTSFORS</t>
        </is>
      </c>
      <c r="I125" t="n">
        <v>2.3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s="2" t="inlineStr"/>
    </row>
    <row r="126" ht="15" customHeight="1">
      <c r="A126" t="inlineStr">
        <is>
          <t>A 13741-2022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44649</v>
      </c>
      <c r="E126" s="1" t="n">
        <v>46218</v>
      </c>
      <c r="F126" t="inlineStr">
        <is>
          <t>VÄSTRA GÖTALANDS LÄN</t>
        </is>
      </c>
      <c r="G126" t="inlineStr">
        <is>
          <t>BENGTSFORS</t>
        </is>
      </c>
      <c r="I126" t="n">
        <v>5.8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s="2" t="inlineStr"/>
    </row>
    <row r="127" ht="15" customHeight="1">
      <c r="A127" t="inlineStr">
        <is>
          <t>A 31712-2022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44776</v>
      </c>
      <c r="E127" s="1" t="n">
        <v>46218</v>
      </c>
      <c r="F127" t="inlineStr">
        <is>
          <t>VÄSTRA GÖTALANDS LÄN</t>
        </is>
      </c>
      <c r="G127" t="inlineStr">
        <is>
          <t>BENGTSFORS</t>
        </is>
      </c>
      <c r="I127" t="n">
        <v>0.7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s="2" t="inlineStr"/>
    </row>
    <row r="128" ht="15" customHeight="1">
      <c r="A128" t="inlineStr">
        <is>
          <t>A 56026-2022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44889</v>
      </c>
      <c r="E128" s="1" t="n">
        <v>46218</v>
      </c>
      <c r="F128" t="inlineStr">
        <is>
          <t>VÄSTRA GÖTALANDS LÄN</t>
        </is>
      </c>
      <c r="G128" t="inlineStr">
        <is>
          <t>BENGTSFORS</t>
        </is>
      </c>
      <c r="I128" t="n">
        <v>0.6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s="2" t="inlineStr"/>
    </row>
    <row r="129" ht="15" customHeight="1">
      <c r="A129" t="inlineStr">
        <is>
          <t>A 61821-2021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44501</v>
      </c>
      <c r="E129" s="1" t="n">
        <v>46218</v>
      </c>
      <c r="F129" t="inlineStr">
        <is>
          <t>VÄSTRA GÖTALANDS LÄN</t>
        </is>
      </c>
      <c r="G129" t="inlineStr">
        <is>
          <t>BENGTSFORS</t>
        </is>
      </c>
      <c r="I129" t="n">
        <v>0.8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s="2" t="inlineStr"/>
    </row>
    <row r="130" ht="15" customHeight="1">
      <c r="A130" t="inlineStr">
        <is>
          <t>A 2296-2022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44578</v>
      </c>
      <c r="E130" s="1" t="n">
        <v>46218</v>
      </c>
      <c r="F130" t="inlineStr">
        <is>
          <t>VÄSTRA GÖTALANDS LÄN</t>
        </is>
      </c>
      <c r="G130" t="inlineStr">
        <is>
          <t>BENGTSFORS</t>
        </is>
      </c>
      <c r="I130" t="n">
        <v>2.6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s="2" t="inlineStr"/>
    </row>
    <row r="131" ht="15" customHeight="1">
      <c r="A131" t="inlineStr">
        <is>
          <t>A 47383-2022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44853</v>
      </c>
      <c r="E131" s="1" t="n">
        <v>46218</v>
      </c>
      <c r="F131" t="inlineStr">
        <is>
          <t>VÄSTRA GÖTALANDS LÄN</t>
        </is>
      </c>
      <c r="G131" t="inlineStr">
        <is>
          <t>BENGTSFORS</t>
        </is>
      </c>
      <c r="I131" t="n">
        <v>1.4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s="2" t="inlineStr"/>
    </row>
    <row r="132" ht="15" customHeight="1">
      <c r="A132" t="inlineStr">
        <is>
          <t>A 1584-2022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44573</v>
      </c>
      <c r="E132" s="1" t="n">
        <v>46218</v>
      </c>
      <c r="F132" t="inlineStr">
        <is>
          <t>VÄSTRA GÖTALANDS LÄN</t>
        </is>
      </c>
      <c r="G132" t="inlineStr">
        <is>
          <t>BENGTSFORS</t>
        </is>
      </c>
      <c r="I132" t="n">
        <v>2.2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s="2" t="inlineStr"/>
    </row>
    <row r="133" ht="15" customHeight="1">
      <c r="A133" t="inlineStr">
        <is>
          <t>A 1592-2022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44573</v>
      </c>
      <c r="E133" s="1" t="n">
        <v>46218</v>
      </c>
      <c r="F133" t="inlineStr">
        <is>
          <t>VÄSTRA GÖTALANDS LÄN</t>
        </is>
      </c>
      <c r="G133" t="inlineStr">
        <is>
          <t>BENGTSFORS</t>
        </is>
      </c>
      <c r="I133" t="n">
        <v>0.4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s="2" t="inlineStr"/>
    </row>
    <row r="134" ht="15" customHeight="1">
      <c r="A134" t="inlineStr">
        <is>
          <t>A 44876-2022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44840</v>
      </c>
      <c r="E134" s="1" t="n">
        <v>46218</v>
      </c>
      <c r="F134" t="inlineStr">
        <is>
          <t>VÄSTRA GÖTALANDS LÄN</t>
        </is>
      </c>
      <c r="G134" t="inlineStr">
        <is>
          <t>BENGTSFORS</t>
        </is>
      </c>
      <c r="I134" t="n">
        <v>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s="2" t="inlineStr"/>
    </row>
    <row r="135" ht="15" customHeight="1">
      <c r="A135" t="inlineStr">
        <is>
          <t>A 47140-2022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44852</v>
      </c>
      <c r="E135" s="1" t="n">
        <v>46218</v>
      </c>
      <c r="F135" t="inlineStr">
        <is>
          <t>VÄSTRA GÖTALANDS LÄN</t>
        </is>
      </c>
      <c r="G135" t="inlineStr">
        <is>
          <t>BENGTSFORS</t>
        </is>
      </c>
      <c r="I135" t="n">
        <v>9.1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s="2" t="inlineStr"/>
    </row>
    <row r="136" ht="15" customHeight="1">
      <c r="A136" t="inlineStr">
        <is>
          <t>A 5999-2022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44599</v>
      </c>
      <c r="E136" s="1" t="n">
        <v>46218</v>
      </c>
      <c r="F136" t="inlineStr">
        <is>
          <t>VÄSTRA GÖTALANDS LÄN</t>
        </is>
      </c>
      <c r="G136" t="inlineStr">
        <is>
          <t>BENGTSFORS</t>
        </is>
      </c>
      <c r="I136" t="n">
        <v>5.9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s="2" t="inlineStr"/>
    </row>
    <row r="137" ht="15" customHeight="1">
      <c r="A137" t="inlineStr">
        <is>
          <t>A 56460-2021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44480</v>
      </c>
      <c r="E137" s="1" t="n">
        <v>46218</v>
      </c>
      <c r="F137" t="inlineStr">
        <is>
          <t>VÄSTRA GÖTALANDS LÄN</t>
        </is>
      </c>
      <c r="G137" t="inlineStr">
        <is>
          <t>BENGTSFORS</t>
        </is>
      </c>
      <c r="I137" t="n">
        <v>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s="2" t="inlineStr"/>
    </row>
    <row r="138" ht="15" customHeight="1">
      <c r="A138" t="inlineStr">
        <is>
          <t>A 40954-2021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44421</v>
      </c>
      <c r="E138" s="1" t="n">
        <v>46218</v>
      </c>
      <c r="F138" t="inlineStr">
        <is>
          <t>VÄSTRA GÖTALANDS LÄN</t>
        </is>
      </c>
      <c r="G138" t="inlineStr">
        <is>
          <t>BENGTSFORS</t>
        </is>
      </c>
      <c r="I138" t="n">
        <v>1.3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s="2" t="inlineStr"/>
    </row>
    <row r="139" ht="15" customHeight="1">
      <c r="A139" t="inlineStr">
        <is>
          <t>A 67935-2021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44525</v>
      </c>
      <c r="E139" s="1" t="n">
        <v>46218</v>
      </c>
      <c r="F139" t="inlineStr">
        <is>
          <t>VÄSTRA GÖTALANDS LÄN</t>
        </is>
      </c>
      <c r="G139" t="inlineStr">
        <is>
          <t>BENGTSFORS</t>
        </is>
      </c>
      <c r="I139" t="n">
        <v>0.8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s="2" t="inlineStr"/>
    </row>
    <row r="140" ht="15" customHeight="1">
      <c r="A140" t="inlineStr">
        <is>
          <t>A 5241-2022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44594</v>
      </c>
      <c r="E140" s="1" t="n">
        <v>46218</v>
      </c>
      <c r="F140" t="inlineStr">
        <is>
          <t>VÄSTRA GÖTALANDS LÄN</t>
        </is>
      </c>
      <c r="G140" t="inlineStr">
        <is>
          <t>BENGTSFORS</t>
        </is>
      </c>
      <c r="I140" t="n">
        <v>1.1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s="2" t="inlineStr"/>
    </row>
    <row r="141" ht="15" customHeight="1">
      <c r="A141" t="inlineStr">
        <is>
          <t>A 74225-2021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44558</v>
      </c>
      <c r="E141" s="1" t="n">
        <v>46218</v>
      </c>
      <c r="F141" t="inlineStr">
        <is>
          <t>VÄSTRA GÖTALANDS LÄN</t>
        </is>
      </c>
      <c r="G141" t="inlineStr">
        <is>
          <t>BENGTSFORS</t>
        </is>
      </c>
      <c r="I141" t="n">
        <v>0.7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s="2" t="inlineStr"/>
    </row>
    <row r="142" ht="15" customHeight="1">
      <c r="A142" t="inlineStr">
        <is>
          <t>A 13669-2022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44648</v>
      </c>
      <c r="E142" s="1" t="n">
        <v>46218</v>
      </c>
      <c r="F142" t="inlineStr">
        <is>
          <t>VÄSTRA GÖTALANDS LÄN</t>
        </is>
      </c>
      <c r="G142" t="inlineStr">
        <is>
          <t>BENGTSFORS</t>
        </is>
      </c>
      <c r="I142" t="n">
        <v>0.3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s="2" t="inlineStr"/>
    </row>
    <row r="143" ht="15" customHeight="1">
      <c r="A143" t="inlineStr">
        <is>
          <t>A 13673-2022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44648</v>
      </c>
      <c r="E143" s="1" t="n">
        <v>46218</v>
      </c>
      <c r="F143" t="inlineStr">
        <is>
          <t>VÄSTRA GÖTALANDS LÄN</t>
        </is>
      </c>
      <c r="G143" t="inlineStr">
        <is>
          <t>BENGTSFORS</t>
        </is>
      </c>
      <c r="I143" t="n">
        <v>0.3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s="2" t="inlineStr"/>
    </row>
    <row r="144" ht="15" customHeight="1">
      <c r="A144" t="inlineStr">
        <is>
          <t>A 24966-2022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44728</v>
      </c>
      <c r="E144" s="1" t="n">
        <v>46218</v>
      </c>
      <c r="F144" t="inlineStr">
        <is>
          <t>VÄSTRA GÖTALANDS LÄN</t>
        </is>
      </c>
      <c r="G144" t="inlineStr">
        <is>
          <t>BENGTSFORS</t>
        </is>
      </c>
      <c r="I144" t="n">
        <v>1.4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s="2" t="inlineStr"/>
    </row>
    <row r="145" ht="15" customHeight="1">
      <c r="A145" t="inlineStr">
        <is>
          <t>A 40295-2022</t>
        </is>
      </c>
      <c r="B145" t="inlineStr">
        <is>
          <t>avverkningsanmälan</t>
        </is>
      </c>
      <c r="C145" t="inlineStr">
        <is>
          <t>Avverkning för annat ändamål</t>
        </is>
      </c>
      <c r="D145" s="1" t="n">
        <v>44821</v>
      </c>
      <c r="E145" s="1" t="n">
        <v>46218</v>
      </c>
      <c r="F145" t="inlineStr">
        <is>
          <t>VÄSTRA GÖTALANDS LÄN</t>
        </is>
      </c>
      <c r="G145" t="inlineStr">
        <is>
          <t>BENGTSFORS</t>
        </is>
      </c>
      <c r="I145" t="n">
        <v>1.1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s="2" t="inlineStr"/>
    </row>
    <row r="146" ht="15" customHeight="1">
      <c r="A146" t="inlineStr">
        <is>
          <t>A 43495-2022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44834</v>
      </c>
      <c r="E146" s="1" t="n">
        <v>46218</v>
      </c>
      <c r="F146" t="inlineStr">
        <is>
          <t>VÄSTRA GÖTALANDS LÄN</t>
        </is>
      </c>
      <c r="G146" t="inlineStr">
        <is>
          <t>BENGTSFORS</t>
        </is>
      </c>
      <c r="I146" t="n">
        <v>0.6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s="2" t="inlineStr"/>
    </row>
    <row r="147" ht="15" customHeight="1">
      <c r="A147" t="inlineStr">
        <is>
          <t>A 32284-2022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44781</v>
      </c>
      <c r="E147" s="1" t="n">
        <v>46218</v>
      </c>
      <c r="F147" t="inlineStr">
        <is>
          <t>VÄSTRA GÖTALANDS LÄN</t>
        </is>
      </c>
      <c r="G147" t="inlineStr">
        <is>
          <t>BENGTSFORS</t>
        </is>
      </c>
      <c r="I147" t="n">
        <v>2.6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s="2" t="inlineStr"/>
    </row>
    <row r="148" ht="15" customHeight="1">
      <c r="A148" t="inlineStr">
        <is>
          <t>A 36005-2022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44802</v>
      </c>
      <c r="E148" s="1" t="n">
        <v>46218</v>
      </c>
      <c r="F148" t="inlineStr">
        <is>
          <t>VÄSTRA GÖTALANDS LÄN</t>
        </is>
      </c>
      <c r="G148" t="inlineStr">
        <is>
          <t>BENGTSFORS</t>
        </is>
      </c>
      <c r="I148" t="n">
        <v>1.7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s="2" t="inlineStr"/>
    </row>
    <row r="149" ht="15" customHeight="1">
      <c r="A149" t="inlineStr">
        <is>
          <t>A 38247-2022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44812</v>
      </c>
      <c r="E149" s="1" t="n">
        <v>46218</v>
      </c>
      <c r="F149" t="inlineStr">
        <is>
          <t>VÄSTRA GÖTALANDS LÄN</t>
        </is>
      </c>
      <c r="G149" t="inlineStr">
        <is>
          <t>BENGTSFORS</t>
        </is>
      </c>
      <c r="H149" t="inlineStr">
        <is>
          <t>Övriga Aktiebolag</t>
        </is>
      </c>
      <c r="I149" t="n">
        <v>0.9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s="2" t="inlineStr"/>
    </row>
    <row r="150" ht="15" customHeight="1">
      <c r="A150" t="inlineStr">
        <is>
          <t>A 28763-2022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44749</v>
      </c>
      <c r="E150" s="1" t="n">
        <v>46218</v>
      </c>
      <c r="F150" t="inlineStr">
        <is>
          <t>VÄSTRA GÖTALANDS LÄN</t>
        </is>
      </c>
      <c r="G150" t="inlineStr">
        <is>
          <t>BENGTSFORS</t>
        </is>
      </c>
      <c r="I150" t="n">
        <v>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s="2" t="inlineStr"/>
    </row>
    <row r="151" ht="15" customHeight="1">
      <c r="A151" t="inlineStr">
        <is>
          <t>A 60975-2021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44497</v>
      </c>
      <c r="E151" s="1" t="n">
        <v>46218</v>
      </c>
      <c r="F151" t="inlineStr">
        <is>
          <t>VÄSTRA GÖTALANDS LÄN</t>
        </is>
      </c>
      <c r="G151" t="inlineStr">
        <is>
          <t>BENGTSFORS</t>
        </is>
      </c>
      <c r="I151" t="n">
        <v>1.1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s="2" t="inlineStr"/>
    </row>
    <row r="152" ht="15" customHeight="1">
      <c r="A152" t="inlineStr">
        <is>
          <t>A 57998-2021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44487</v>
      </c>
      <c r="E152" s="1" t="n">
        <v>46218</v>
      </c>
      <c r="F152" t="inlineStr">
        <is>
          <t>VÄSTRA GÖTALANDS LÄN</t>
        </is>
      </c>
      <c r="G152" t="inlineStr">
        <is>
          <t>BENGTSFORS</t>
        </is>
      </c>
      <c r="I152" t="n">
        <v>1.8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s="2" t="inlineStr"/>
    </row>
    <row r="153" ht="15" customHeight="1">
      <c r="A153" t="inlineStr">
        <is>
          <t>A 9214-2024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45358</v>
      </c>
      <c r="E153" s="1" t="n">
        <v>46218</v>
      </c>
      <c r="F153" t="inlineStr">
        <is>
          <t>VÄSTRA GÖTALANDS LÄN</t>
        </is>
      </c>
      <c r="G153" t="inlineStr">
        <is>
          <t>BENGTSFORS</t>
        </is>
      </c>
      <c r="I153" t="n">
        <v>8.5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s="2" t="inlineStr"/>
    </row>
    <row r="154" ht="15" customHeight="1">
      <c r="A154" t="inlineStr">
        <is>
          <t>A 53197-2022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44876</v>
      </c>
      <c r="E154" s="1" t="n">
        <v>46218</v>
      </c>
      <c r="F154" t="inlineStr">
        <is>
          <t>VÄSTRA GÖTALANDS LÄN</t>
        </is>
      </c>
      <c r="G154" t="inlineStr">
        <is>
          <t>BENGTSFORS</t>
        </is>
      </c>
      <c r="I154" t="n">
        <v>4.1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s="2" t="inlineStr"/>
    </row>
    <row r="155" ht="15" customHeight="1">
      <c r="A155" t="inlineStr">
        <is>
          <t>A 21982-2024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45443</v>
      </c>
      <c r="E155" s="1" t="n">
        <v>46218</v>
      </c>
      <c r="F155" t="inlineStr">
        <is>
          <t>VÄSTRA GÖTALANDS LÄN</t>
        </is>
      </c>
      <c r="G155" t="inlineStr">
        <is>
          <t>BENGTSFORS</t>
        </is>
      </c>
      <c r="H155" t="inlineStr">
        <is>
          <t>Kyrkan</t>
        </is>
      </c>
      <c r="I155" t="n">
        <v>1.5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s="2" t="inlineStr"/>
    </row>
    <row r="156" ht="15" customHeight="1">
      <c r="A156" t="inlineStr">
        <is>
          <t>A 44642-2021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44437</v>
      </c>
      <c r="E156" s="1" t="n">
        <v>46218</v>
      </c>
      <c r="F156" t="inlineStr">
        <is>
          <t>VÄSTRA GÖTALANDS LÄN</t>
        </is>
      </c>
      <c r="G156" t="inlineStr">
        <is>
          <t>BENGTSFORS</t>
        </is>
      </c>
      <c r="I156" t="n">
        <v>1.4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s="2" t="inlineStr"/>
    </row>
    <row r="157" ht="15" customHeight="1">
      <c r="A157" t="inlineStr">
        <is>
          <t>A 31110-2022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44769</v>
      </c>
      <c r="E157" s="1" t="n">
        <v>46218</v>
      </c>
      <c r="F157" t="inlineStr">
        <is>
          <t>VÄSTRA GÖTALANDS LÄN</t>
        </is>
      </c>
      <c r="G157" t="inlineStr">
        <is>
          <t>BENGTSFORS</t>
        </is>
      </c>
      <c r="I157" t="n">
        <v>13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s="2" t="inlineStr"/>
    </row>
    <row r="158" ht="15" customHeight="1">
      <c r="A158" t="inlineStr">
        <is>
          <t>A 9516-2024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45359</v>
      </c>
      <c r="E158" s="1" t="n">
        <v>46218</v>
      </c>
      <c r="F158" t="inlineStr">
        <is>
          <t>VÄSTRA GÖTALANDS LÄN</t>
        </is>
      </c>
      <c r="G158" t="inlineStr">
        <is>
          <t>BENGTSFORS</t>
        </is>
      </c>
      <c r="I158" t="n">
        <v>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s="2" t="inlineStr"/>
    </row>
    <row r="159" ht="15" customHeight="1">
      <c r="A159" t="inlineStr">
        <is>
          <t>A 29229-2022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44750</v>
      </c>
      <c r="E159" s="1" t="n">
        <v>46218</v>
      </c>
      <c r="F159" t="inlineStr">
        <is>
          <t>VÄSTRA GÖTALANDS LÄN</t>
        </is>
      </c>
      <c r="G159" t="inlineStr">
        <is>
          <t>BENGTSFORS</t>
        </is>
      </c>
      <c r="I159" t="n">
        <v>22.1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s="2" t="inlineStr"/>
    </row>
    <row r="160" ht="15" customHeight="1">
      <c r="A160" t="inlineStr">
        <is>
          <t>A 64977-2021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44513</v>
      </c>
      <c r="E160" s="1" t="n">
        <v>46218</v>
      </c>
      <c r="F160" t="inlineStr">
        <is>
          <t>VÄSTRA GÖTALANDS LÄN</t>
        </is>
      </c>
      <c r="G160" t="inlineStr">
        <is>
          <t>BENGTSFORS</t>
        </is>
      </c>
      <c r="I160" t="n">
        <v>3.9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s="2" t="inlineStr"/>
    </row>
    <row r="161" ht="15" customHeight="1">
      <c r="A161" t="inlineStr">
        <is>
          <t>A 58454-2021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44488</v>
      </c>
      <c r="E161" s="1" t="n">
        <v>46218</v>
      </c>
      <c r="F161" t="inlineStr">
        <is>
          <t>VÄSTRA GÖTALANDS LÄN</t>
        </is>
      </c>
      <c r="G161" t="inlineStr">
        <is>
          <t>BENGTSFORS</t>
        </is>
      </c>
      <c r="I161" t="n">
        <v>2.5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s="2" t="inlineStr"/>
    </row>
    <row r="162" ht="15" customHeight="1">
      <c r="A162" t="inlineStr">
        <is>
          <t>A 52554-2022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44874</v>
      </c>
      <c r="E162" s="1" t="n">
        <v>46218</v>
      </c>
      <c r="F162" t="inlineStr">
        <is>
          <t>VÄSTRA GÖTALANDS LÄN</t>
        </is>
      </c>
      <c r="G162" t="inlineStr">
        <is>
          <t>BENGTSFORS</t>
        </is>
      </c>
      <c r="I162" t="n">
        <v>2.4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s="2" t="inlineStr"/>
    </row>
    <row r="163" ht="15" customHeight="1">
      <c r="A163" t="inlineStr">
        <is>
          <t>A 54309-2021</t>
        </is>
      </c>
      <c r="B163" t="inlineStr">
        <is>
          <t>avverkningsanmälan</t>
        </is>
      </c>
      <c r="C163" t="inlineStr">
        <is>
          <t>Avverkning för annat ändamål</t>
        </is>
      </c>
      <c r="D163" s="1" t="n">
        <v>44472</v>
      </c>
      <c r="E163" s="1" t="n">
        <v>46218</v>
      </c>
      <c r="F163" t="inlineStr">
        <is>
          <t>VÄSTRA GÖTALANDS LÄN</t>
        </is>
      </c>
      <c r="G163" t="inlineStr">
        <is>
          <t>BENGTSFORS</t>
        </is>
      </c>
      <c r="I163" t="n">
        <v>0.8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s="2" t="inlineStr"/>
    </row>
    <row r="164" ht="15" customHeight="1">
      <c r="A164" t="inlineStr">
        <is>
          <t>A 12877-2024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45385</v>
      </c>
      <c r="E164" s="1" t="n">
        <v>46218</v>
      </c>
      <c r="F164" t="inlineStr">
        <is>
          <t>VÄSTRA GÖTALANDS LÄN</t>
        </is>
      </c>
      <c r="G164" t="inlineStr">
        <is>
          <t>BENGTSFORS</t>
        </is>
      </c>
      <c r="H164" t="inlineStr">
        <is>
          <t>Övriga Aktiebolag</t>
        </is>
      </c>
      <c r="I164" t="n">
        <v>1.3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s="2" t="inlineStr"/>
    </row>
    <row r="165" ht="15" customHeight="1">
      <c r="A165" t="inlineStr">
        <is>
          <t>A 50956-2023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45218</v>
      </c>
      <c r="E165" s="1" t="n">
        <v>46218</v>
      </c>
      <c r="F165" t="inlineStr">
        <is>
          <t>VÄSTRA GÖTALANDS LÄN</t>
        </is>
      </c>
      <c r="G165" t="inlineStr">
        <is>
          <t>BENGTSFORS</t>
        </is>
      </c>
      <c r="I165" t="n">
        <v>6.7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s="2" t="inlineStr"/>
    </row>
    <row r="166" ht="15" customHeight="1">
      <c r="A166" t="inlineStr">
        <is>
          <t>A 59616-2022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44907</v>
      </c>
      <c r="E166" s="1" t="n">
        <v>46218</v>
      </c>
      <c r="F166" t="inlineStr">
        <is>
          <t>VÄSTRA GÖTALANDS LÄN</t>
        </is>
      </c>
      <c r="G166" t="inlineStr">
        <is>
          <t>BENGTSFORS</t>
        </is>
      </c>
      <c r="I166" t="n">
        <v>4.9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s="2" t="inlineStr"/>
    </row>
    <row r="167" ht="15" customHeight="1">
      <c r="A167" t="inlineStr">
        <is>
          <t>A 21149-2024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45440</v>
      </c>
      <c r="E167" s="1" t="n">
        <v>46218</v>
      </c>
      <c r="F167" t="inlineStr">
        <is>
          <t>VÄSTRA GÖTALANDS LÄN</t>
        </is>
      </c>
      <c r="G167" t="inlineStr">
        <is>
          <t>BENGTSFORS</t>
        </is>
      </c>
      <c r="I167" t="n">
        <v>1.9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s="2" t="inlineStr"/>
    </row>
    <row r="168" ht="15" customHeight="1">
      <c r="A168" t="inlineStr">
        <is>
          <t>A 9097-2022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44615</v>
      </c>
      <c r="E168" s="1" t="n">
        <v>46218</v>
      </c>
      <c r="F168" t="inlineStr">
        <is>
          <t>VÄSTRA GÖTALANDS LÄN</t>
        </is>
      </c>
      <c r="G168" t="inlineStr">
        <is>
          <t>BENGTSFORS</t>
        </is>
      </c>
      <c r="I168" t="n">
        <v>1.7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s="2" t="inlineStr"/>
    </row>
    <row r="169" ht="15" customHeight="1">
      <c r="A169" t="inlineStr">
        <is>
          <t>A 28175-2024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45476</v>
      </c>
      <c r="E169" s="1" t="n">
        <v>46218</v>
      </c>
      <c r="F169" t="inlineStr">
        <is>
          <t>VÄSTRA GÖTALANDS LÄN</t>
        </is>
      </c>
      <c r="G169" t="inlineStr">
        <is>
          <t>BENGTSFORS</t>
        </is>
      </c>
      <c r="I169" t="n">
        <v>0.6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s="2" t="inlineStr"/>
    </row>
    <row r="170" ht="15" customHeight="1">
      <c r="A170" t="inlineStr">
        <is>
          <t>A 38967-2025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45886</v>
      </c>
      <c r="E170" s="1" t="n">
        <v>46218</v>
      </c>
      <c r="F170" t="inlineStr">
        <is>
          <t>VÄSTRA GÖTALANDS LÄN</t>
        </is>
      </c>
      <c r="G170" t="inlineStr">
        <is>
          <t>BENGTSFORS</t>
        </is>
      </c>
      <c r="I170" t="n">
        <v>1.3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s="2" t="inlineStr"/>
    </row>
    <row r="171" ht="15" customHeight="1">
      <c r="A171" t="inlineStr">
        <is>
          <t>A 29771-2025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45825</v>
      </c>
      <c r="E171" s="1" t="n">
        <v>46218</v>
      </c>
      <c r="F171" t="inlineStr">
        <is>
          <t>VÄSTRA GÖTALANDS LÄN</t>
        </is>
      </c>
      <c r="G171" t="inlineStr">
        <is>
          <t>BENGTSFORS</t>
        </is>
      </c>
      <c r="I171" t="n">
        <v>1.6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s="2" t="inlineStr"/>
    </row>
    <row r="172" ht="15" customHeight="1">
      <c r="A172" t="inlineStr">
        <is>
          <t>A 45503-2022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44845</v>
      </c>
      <c r="E172" s="1" t="n">
        <v>46218</v>
      </c>
      <c r="F172" t="inlineStr">
        <is>
          <t>VÄSTRA GÖTALANDS LÄN</t>
        </is>
      </c>
      <c r="G172" t="inlineStr">
        <is>
          <t>BENGTSFORS</t>
        </is>
      </c>
      <c r="I172" t="n">
        <v>1.1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s="2" t="inlineStr"/>
    </row>
    <row r="173" ht="15" customHeight="1">
      <c r="A173" t="inlineStr">
        <is>
          <t>A 3751-2023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44951</v>
      </c>
      <c r="E173" s="1" t="n">
        <v>46218</v>
      </c>
      <c r="F173" t="inlineStr">
        <is>
          <t>VÄSTRA GÖTALANDS LÄN</t>
        </is>
      </c>
      <c r="G173" t="inlineStr">
        <is>
          <t>BENGTSFORS</t>
        </is>
      </c>
      <c r="I173" t="n">
        <v>2.4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s="2" t="inlineStr"/>
    </row>
    <row r="174" ht="15" customHeight="1">
      <c r="A174" t="inlineStr">
        <is>
          <t>A 57976-2024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45631</v>
      </c>
      <c r="E174" s="1" t="n">
        <v>46218</v>
      </c>
      <c r="F174" t="inlineStr">
        <is>
          <t>VÄSTRA GÖTALANDS LÄN</t>
        </is>
      </c>
      <c r="G174" t="inlineStr">
        <is>
          <t>BENGTSFORS</t>
        </is>
      </c>
      <c r="I174" t="n">
        <v>1.8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s="2" t="inlineStr"/>
    </row>
    <row r="175" ht="15" customHeight="1">
      <c r="A175" t="inlineStr">
        <is>
          <t>A 13074-2024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45385</v>
      </c>
      <c r="E175" s="1" t="n">
        <v>46218</v>
      </c>
      <c r="F175" t="inlineStr">
        <is>
          <t>VÄSTRA GÖTALANDS LÄN</t>
        </is>
      </c>
      <c r="G175" t="inlineStr">
        <is>
          <t>BENGTSFORS</t>
        </is>
      </c>
      <c r="I175" t="n">
        <v>2.2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s="2" t="inlineStr"/>
    </row>
    <row r="176" ht="15" customHeight="1">
      <c r="A176" t="inlineStr">
        <is>
          <t>A 61820-2021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44501</v>
      </c>
      <c r="E176" s="1" t="n">
        <v>46218</v>
      </c>
      <c r="F176" t="inlineStr">
        <is>
          <t>VÄSTRA GÖTALANDS LÄN</t>
        </is>
      </c>
      <c r="G176" t="inlineStr">
        <is>
          <t>BENGTSFORS</t>
        </is>
      </c>
      <c r="I176" t="n">
        <v>1.1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s="2" t="inlineStr"/>
    </row>
    <row r="177" ht="15" customHeight="1">
      <c r="A177" t="inlineStr">
        <is>
          <t>A 29791-2023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45107</v>
      </c>
      <c r="E177" s="1" t="n">
        <v>46218</v>
      </c>
      <c r="F177" t="inlineStr">
        <is>
          <t>VÄSTRA GÖTALANDS LÄN</t>
        </is>
      </c>
      <c r="G177" t="inlineStr">
        <is>
          <t>BENGTSFORS</t>
        </is>
      </c>
      <c r="I177" t="n">
        <v>4.9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s="2" t="inlineStr"/>
    </row>
    <row r="178" ht="15" customHeight="1">
      <c r="A178" t="inlineStr">
        <is>
          <t>A 42362-2024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45562</v>
      </c>
      <c r="E178" s="1" t="n">
        <v>46218</v>
      </c>
      <c r="F178" t="inlineStr">
        <is>
          <t>VÄSTRA GÖTALANDS LÄN</t>
        </is>
      </c>
      <c r="G178" t="inlineStr">
        <is>
          <t>BENGTSFORS</t>
        </is>
      </c>
      <c r="I178" t="n">
        <v>0.9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s="2" t="inlineStr"/>
    </row>
    <row r="179" ht="15" customHeight="1">
      <c r="A179" t="inlineStr">
        <is>
          <t>A 23703-2025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45793</v>
      </c>
      <c r="E179" s="1" t="n">
        <v>46218</v>
      </c>
      <c r="F179" t="inlineStr">
        <is>
          <t>VÄSTRA GÖTALANDS LÄN</t>
        </is>
      </c>
      <c r="G179" t="inlineStr">
        <is>
          <t>BENGTSFORS</t>
        </is>
      </c>
      <c r="I179" t="n">
        <v>3.2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s="2" t="inlineStr"/>
    </row>
    <row r="180" ht="15" customHeight="1">
      <c r="A180" t="inlineStr">
        <is>
          <t>A 27009-2025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45811</v>
      </c>
      <c r="E180" s="1" t="n">
        <v>46218</v>
      </c>
      <c r="F180" t="inlineStr">
        <is>
          <t>VÄSTRA GÖTALANDS LÄN</t>
        </is>
      </c>
      <c r="G180" t="inlineStr">
        <is>
          <t>BENGTSFORS</t>
        </is>
      </c>
      <c r="I180" t="n">
        <v>2.3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s="2" t="inlineStr"/>
    </row>
    <row r="181" ht="15" customHeight="1">
      <c r="A181" t="inlineStr">
        <is>
          <t>A 20167-2025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45772</v>
      </c>
      <c r="E181" s="1" t="n">
        <v>46218</v>
      </c>
      <c r="F181" t="inlineStr">
        <is>
          <t>VÄSTRA GÖTALANDS LÄN</t>
        </is>
      </c>
      <c r="G181" t="inlineStr">
        <is>
          <t>BENGTSFORS</t>
        </is>
      </c>
      <c r="I181" t="n">
        <v>1.3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s="2" t="inlineStr"/>
    </row>
    <row r="182" ht="15" customHeight="1">
      <c r="A182" t="inlineStr">
        <is>
          <t>A 43575-2023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45181</v>
      </c>
      <c r="E182" s="1" t="n">
        <v>46218</v>
      </c>
      <c r="F182" t="inlineStr">
        <is>
          <t>VÄSTRA GÖTALANDS LÄN</t>
        </is>
      </c>
      <c r="G182" t="inlineStr">
        <is>
          <t>BENGTSFORS</t>
        </is>
      </c>
      <c r="I182" t="n">
        <v>3.1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s="2" t="inlineStr"/>
    </row>
    <row r="183" ht="15" customHeight="1">
      <c r="A183" t="inlineStr">
        <is>
          <t>A 4480-2023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44956</v>
      </c>
      <c r="E183" s="1" t="n">
        <v>46218</v>
      </c>
      <c r="F183" t="inlineStr">
        <is>
          <t>VÄSTRA GÖTALANDS LÄN</t>
        </is>
      </c>
      <c r="G183" t="inlineStr">
        <is>
          <t>BENGTSFORS</t>
        </is>
      </c>
      <c r="I183" t="n">
        <v>2.3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s="2" t="inlineStr"/>
    </row>
    <row r="184" ht="15" customHeight="1">
      <c r="A184" t="inlineStr">
        <is>
          <t>A 62022-2024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45655</v>
      </c>
      <c r="E184" s="1" t="n">
        <v>46218</v>
      </c>
      <c r="F184" t="inlineStr">
        <is>
          <t>VÄSTRA GÖTALANDS LÄN</t>
        </is>
      </c>
      <c r="G184" t="inlineStr">
        <is>
          <t>BENGTSFORS</t>
        </is>
      </c>
      <c r="I184" t="n">
        <v>0.8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s="2" t="inlineStr"/>
    </row>
    <row r="185" ht="15" customHeight="1">
      <c r="A185" t="inlineStr">
        <is>
          <t>A 402-2025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45663</v>
      </c>
      <c r="E185" s="1" t="n">
        <v>46218</v>
      </c>
      <c r="F185" t="inlineStr">
        <is>
          <t>VÄSTRA GÖTALANDS LÄN</t>
        </is>
      </c>
      <c r="G185" t="inlineStr">
        <is>
          <t>BENGTSFORS</t>
        </is>
      </c>
      <c r="I185" t="n">
        <v>4.1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s="2" t="inlineStr"/>
    </row>
    <row r="186" ht="15" customHeight="1">
      <c r="A186" t="inlineStr">
        <is>
          <t>A 403-2025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45663</v>
      </c>
      <c r="E186" s="1" t="n">
        <v>46218</v>
      </c>
      <c r="F186" t="inlineStr">
        <is>
          <t>VÄSTRA GÖTALANDS LÄN</t>
        </is>
      </c>
      <c r="G186" t="inlineStr">
        <is>
          <t>BENGTSFORS</t>
        </is>
      </c>
      <c r="I186" t="n">
        <v>0.6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s="2" t="inlineStr"/>
    </row>
    <row r="187" ht="15" customHeight="1">
      <c r="A187" t="inlineStr">
        <is>
          <t>A 59980-2023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45257</v>
      </c>
      <c r="E187" s="1" t="n">
        <v>46218</v>
      </c>
      <c r="F187" t="inlineStr">
        <is>
          <t>VÄSTRA GÖTALANDS LÄN</t>
        </is>
      </c>
      <c r="G187" t="inlineStr">
        <is>
          <t>BENGTSFORS</t>
        </is>
      </c>
      <c r="I187" t="n">
        <v>0.5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s="2" t="inlineStr"/>
    </row>
    <row r="188" ht="15" customHeight="1">
      <c r="A188" t="inlineStr">
        <is>
          <t>A 36416-2023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45151</v>
      </c>
      <c r="E188" s="1" t="n">
        <v>46218</v>
      </c>
      <c r="F188" t="inlineStr">
        <is>
          <t>VÄSTRA GÖTALANDS LÄN</t>
        </is>
      </c>
      <c r="G188" t="inlineStr">
        <is>
          <t>BENGTSFORS</t>
        </is>
      </c>
      <c r="I188" t="n">
        <v>1.8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s="2" t="inlineStr"/>
    </row>
    <row r="189" ht="15" customHeight="1">
      <c r="A189" t="inlineStr">
        <is>
          <t>A 13970-2023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45008</v>
      </c>
      <c r="E189" s="1" t="n">
        <v>46218</v>
      </c>
      <c r="F189" t="inlineStr">
        <is>
          <t>VÄSTRA GÖTALANDS LÄN</t>
        </is>
      </c>
      <c r="G189" t="inlineStr">
        <is>
          <t>BENGTSFORS</t>
        </is>
      </c>
      <c r="I189" t="n">
        <v>1.3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s="2" t="inlineStr"/>
    </row>
    <row r="190" ht="15" customHeight="1">
      <c r="A190" t="inlineStr">
        <is>
          <t>A 36423-2023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45151</v>
      </c>
      <c r="E190" s="1" t="n">
        <v>46218</v>
      </c>
      <c r="F190" t="inlineStr">
        <is>
          <t>VÄSTRA GÖTALANDS LÄN</t>
        </is>
      </c>
      <c r="G190" t="inlineStr">
        <is>
          <t>BENGTSFORS</t>
        </is>
      </c>
      <c r="I190" t="n">
        <v>1.3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s="2" t="inlineStr"/>
    </row>
    <row r="191" ht="15" customHeight="1">
      <c r="A191" t="inlineStr">
        <is>
          <t>A 13346-2024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45386</v>
      </c>
      <c r="E191" s="1" t="n">
        <v>46218</v>
      </c>
      <c r="F191" t="inlineStr">
        <is>
          <t>VÄSTRA GÖTALANDS LÄN</t>
        </is>
      </c>
      <c r="G191" t="inlineStr">
        <is>
          <t>BENGTSFORS</t>
        </is>
      </c>
      <c r="I191" t="n">
        <v>1.6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s="2" t="inlineStr"/>
    </row>
    <row r="192" ht="15" customHeight="1">
      <c r="A192" t="inlineStr">
        <is>
          <t>A 39339-2025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45889</v>
      </c>
      <c r="E192" s="1" t="n">
        <v>46218</v>
      </c>
      <c r="F192" t="inlineStr">
        <is>
          <t>VÄSTRA GÖTALANDS LÄN</t>
        </is>
      </c>
      <c r="G192" t="inlineStr">
        <is>
          <t>BENGTSFORS</t>
        </is>
      </c>
      <c r="I192" t="n">
        <v>8.800000000000001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s="2" t="inlineStr"/>
    </row>
    <row r="193" ht="15" customHeight="1">
      <c r="A193" t="inlineStr">
        <is>
          <t>A 39333-2025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45889</v>
      </c>
      <c r="E193" s="1" t="n">
        <v>46218</v>
      </c>
      <c r="F193" t="inlineStr">
        <is>
          <t>VÄSTRA GÖTALANDS LÄN</t>
        </is>
      </c>
      <c r="G193" t="inlineStr">
        <is>
          <t>BENGTSFORS</t>
        </is>
      </c>
      <c r="I193" t="n">
        <v>1.4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s="2" t="inlineStr"/>
    </row>
    <row r="194" ht="15" customHeight="1">
      <c r="A194" t="inlineStr">
        <is>
          <t>A 11622-2024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45373</v>
      </c>
      <c r="E194" s="1" t="n">
        <v>46218</v>
      </c>
      <c r="F194" t="inlineStr">
        <is>
          <t>VÄSTRA GÖTALANDS LÄN</t>
        </is>
      </c>
      <c r="G194" t="inlineStr">
        <is>
          <t>BENGTSFORS</t>
        </is>
      </c>
      <c r="I194" t="n">
        <v>3.1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s="2" t="inlineStr"/>
    </row>
    <row r="195" ht="15" customHeight="1">
      <c r="A195" t="inlineStr">
        <is>
          <t>A 55409-2022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44887</v>
      </c>
      <c r="E195" s="1" t="n">
        <v>46218</v>
      </c>
      <c r="F195" t="inlineStr">
        <is>
          <t>VÄSTRA GÖTALANDS LÄN</t>
        </is>
      </c>
      <c r="G195" t="inlineStr">
        <is>
          <t>BENGTSFORS</t>
        </is>
      </c>
      <c r="I195" t="n">
        <v>3.8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s="2" t="inlineStr"/>
    </row>
    <row r="196" ht="15" customHeight="1">
      <c r="A196" t="inlineStr">
        <is>
          <t>A 9523-2022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44617</v>
      </c>
      <c r="E196" s="1" t="n">
        <v>46218</v>
      </c>
      <c r="F196" t="inlineStr">
        <is>
          <t>VÄSTRA GÖTALANDS LÄN</t>
        </is>
      </c>
      <c r="G196" t="inlineStr">
        <is>
          <t>BENGTSFORS</t>
        </is>
      </c>
      <c r="H196" t="inlineStr">
        <is>
          <t>Kyrkan</t>
        </is>
      </c>
      <c r="I196" t="n">
        <v>2.8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s="2" t="inlineStr"/>
    </row>
    <row r="197" ht="15" customHeight="1">
      <c r="A197" t="inlineStr">
        <is>
          <t>A 39607-2025</t>
        </is>
      </c>
      <c r="B197" t="inlineStr">
        <is>
          <t>avverkningsanmälan</t>
        </is>
      </c>
      <c r="C197" t="inlineStr">
        <is>
          <t>Avverkning för annat ändamål</t>
        </is>
      </c>
      <c r="D197" s="1" t="n">
        <v>45890</v>
      </c>
      <c r="E197" s="1" t="n">
        <v>46218</v>
      </c>
      <c r="F197" t="inlineStr">
        <is>
          <t>VÄSTRA GÖTALANDS LÄN</t>
        </is>
      </c>
      <c r="G197" t="inlineStr">
        <is>
          <t>BENGTSFORS</t>
        </is>
      </c>
      <c r="I197" t="n">
        <v>0.7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s="2" t="inlineStr"/>
    </row>
    <row r="198" ht="15" customHeight="1">
      <c r="A198" t="inlineStr">
        <is>
          <t>A 54590-2023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45233</v>
      </c>
      <c r="E198" s="1" t="n">
        <v>46218</v>
      </c>
      <c r="F198" t="inlineStr">
        <is>
          <t>VÄSTRA GÖTALANDS LÄN</t>
        </is>
      </c>
      <c r="G198" t="inlineStr">
        <is>
          <t>BENGTSFORS</t>
        </is>
      </c>
      <c r="I198" t="n">
        <v>1.1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s="2" t="inlineStr"/>
    </row>
    <row r="199" ht="15" customHeight="1">
      <c r="A199" t="inlineStr">
        <is>
          <t>A 4475-2023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44956</v>
      </c>
      <c r="E199" s="1" t="n">
        <v>46218</v>
      </c>
      <c r="F199" t="inlineStr">
        <is>
          <t>VÄSTRA GÖTALANDS LÄN</t>
        </is>
      </c>
      <c r="G199" t="inlineStr">
        <is>
          <t>BENGTSFORS</t>
        </is>
      </c>
      <c r="I199" t="n">
        <v>10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s="2" t="inlineStr"/>
    </row>
    <row r="200" ht="15" customHeight="1">
      <c r="A200" t="inlineStr">
        <is>
          <t>A 50946-2023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45218</v>
      </c>
      <c r="E200" s="1" t="n">
        <v>46218</v>
      </c>
      <c r="F200" t="inlineStr">
        <is>
          <t>VÄSTRA GÖTALANDS LÄN</t>
        </is>
      </c>
      <c r="G200" t="inlineStr">
        <is>
          <t>BENGTSFORS</t>
        </is>
      </c>
      <c r="I200" t="n">
        <v>3.3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s="2" t="inlineStr"/>
    </row>
    <row r="201" ht="15" customHeight="1">
      <c r="A201" t="inlineStr">
        <is>
          <t>A 42471-2022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44831</v>
      </c>
      <c r="E201" s="1" t="n">
        <v>46218</v>
      </c>
      <c r="F201" t="inlineStr">
        <is>
          <t>VÄSTRA GÖTALANDS LÄN</t>
        </is>
      </c>
      <c r="G201" t="inlineStr">
        <is>
          <t>BENGTSFORS</t>
        </is>
      </c>
      <c r="I201" t="n">
        <v>0.8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s="2" t="inlineStr"/>
    </row>
    <row r="202" ht="15" customHeight="1">
      <c r="A202" t="inlineStr">
        <is>
          <t>A 40066-2025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45894</v>
      </c>
      <c r="E202" s="1" t="n">
        <v>46218</v>
      </c>
      <c r="F202" t="inlineStr">
        <is>
          <t>VÄSTRA GÖTALANDS LÄN</t>
        </is>
      </c>
      <c r="G202" t="inlineStr">
        <is>
          <t>BENGTSFORS</t>
        </is>
      </c>
      <c r="I202" t="n">
        <v>1.1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s="2" t="inlineStr"/>
    </row>
    <row r="203" ht="15" customHeight="1">
      <c r="A203" t="inlineStr">
        <is>
          <t>A 13090-2025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45734</v>
      </c>
      <c r="E203" s="1" t="n">
        <v>46218</v>
      </c>
      <c r="F203" t="inlineStr">
        <is>
          <t>VÄSTRA GÖTALANDS LÄN</t>
        </is>
      </c>
      <c r="G203" t="inlineStr">
        <is>
          <t>BENGTSFORS</t>
        </is>
      </c>
      <c r="I203" t="n">
        <v>2.1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s="2" t="inlineStr"/>
    </row>
    <row r="204" ht="15" customHeight="1">
      <c r="A204" t="inlineStr">
        <is>
          <t>A 40473-2025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45895</v>
      </c>
      <c r="E204" s="1" t="n">
        <v>46218</v>
      </c>
      <c r="F204" t="inlineStr">
        <is>
          <t>VÄSTRA GÖTALANDS LÄN</t>
        </is>
      </c>
      <c r="G204" t="inlineStr">
        <is>
          <t>BENGTSFORS</t>
        </is>
      </c>
      <c r="I204" t="n">
        <v>2.4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s="2" t="inlineStr"/>
    </row>
    <row r="205" ht="15" customHeight="1">
      <c r="A205" t="inlineStr">
        <is>
          <t>A 55880-2021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44476</v>
      </c>
      <c r="E205" s="1" t="n">
        <v>46218</v>
      </c>
      <c r="F205" t="inlineStr">
        <is>
          <t>VÄSTRA GÖTALANDS LÄN</t>
        </is>
      </c>
      <c r="G205" t="inlineStr">
        <is>
          <t>BENGTSFORS</t>
        </is>
      </c>
      <c r="I205" t="n">
        <v>3.6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s="2" t="inlineStr"/>
    </row>
    <row r="206" ht="15" customHeight="1">
      <c r="A206" t="inlineStr">
        <is>
          <t>A 52226-2023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45217</v>
      </c>
      <c r="E206" s="1" t="n">
        <v>46218</v>
      </c>
      <c r="F206" t="inlineStr">
        <is>
          <t>VÄSTRA GÖTALANDS LÄN</t>
        </is>
      </c>
      <c r="G206" t="inlineStr">
        <is>
          <t>BENGTSFORS</t>
        </is>
      </c>
      <c r="H206" t="inlineStr">
        <is>
          <t>Kyrkan</t>
        </is>
      </c>
      <c r="I206" t="n">
        <v>2.4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s="2" t="inlineStr"/>
    </row>
    <row r="207" ht="15" customHeight="1">
      <c r="A207" t="inlineStr">
        <is>
          <t>A 35246-2024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45530</v>
      </c>
      <c r="E207" s="1" t="n">
        <v>46218</v>
      </c>
      <c r="F207" t="inlineStr">
        <is>
          <t>VÄSTRA GÖTALANDS LÄN</t>
        </is>
      </c>
      <c r="G207" t="inlineStr">
        <is>
          <t>BENGTSFORS</t>
        </is>
      </c>
      <c r="I207" t="n">
        <v>0.6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s="2" t="inlineStr"/>
    </row>
    <row r="208" ht="15" customHeight="1">
      <c r="A208" t="inlineStr">
        <is>
          <t>A 41860-2023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45176</v>
      </c>
      <c r="E208" s="1" t="n">
        <v>46218</v>
      </c>
      <c r="F208" t="inlineStr">
        <is>
          <t>VÄSTRA GÖTALANDS LÄN</t>
        </is>
      </c>
      <c r="G208" t="inlineStr">
        <is>
          <t>BENGTSFORS</t>
        </is>
      </c>
      <c r="I208" t="n">
        <v>2.4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s="2" t="inlineStr"/>
    </row>
    <row r="209" ht="15" customHeight="1">
      <c r="A209" t="inlineStr">
        <is>
          <t>A 56681-2022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44893</v>
      </c>
      <c r="E209" s="1" t="n">
        <v>46218</v>
      </c>
      <c r="F209" t="inlineStr">
        <is>
          <t>VÄSTRA GÖTALANDS LÄN</t>
        </is>
      </c>
      <c r="G209" t="inlineStr">
        <is>
          <t>BENGTSFORS</t>
        </is>
      </c>
      <c r="I209" t="n">
        <v>1.7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s="2" t="inlineStr"/>
    </row>
    <row r="210" ht="15" customHeight="1">
      <c r="A210" t="inlineStr">
        <is>
          <t>A 30432-2023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45111</v>
      </c>
      <c r="E210" s="1" t="n">
        <v>46218</v>
      </c>
      <c r="F210" t="inlineStr">
        <is>
          <t>VÄSTRA GÖTALANDS LÄN</t>
        </is>
      </c>
      <c r="G210" t="inlineStr">
        <is>
          <t>BENGTSFORS</t>
        </is>
      </c>
      <c r="I210" t="n">
        <v>0.9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s="2" t="inlineStr"/>
    </row>
    <row r="211" ht="15" customHeight="1">
      <c r="A211" t="inlineStr">
        <is>
          <t>A 15177-2025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45744</v>
      </c>
      <c r="E211" s="1" t="n">
        <v>46218</v>
      </c>
      <c r="F211" t="inlineStr">
        <is>
          <t>VÄSTRA GÖTALANDS LÄN</t>
        </is>
      </c>
      <c r="G211" t="inlineStr">
        <is>
          <t>BENGTSFORS</t>
        </is>
      </c>
      <c r="I211" t="n">
        <v>0.5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s="2" t="inlineStr"/>
    </row>
    <row r="212" ht="15" customHeight="1">
      <c r="A212" t="inlineStr">
        <is>
          <t>A 10050-2025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45719</v>
      </c>
      <c r="E212" s="1" t="n">
        <v>46218</v>
      </c>
      <c r="F212" t="inlineStr">
        <is>
          <t>VÄSTRA GÖTALANDS LÄN</t>
        </is>
      </c>
      <c r="G212" t="inlineStr">
        <is>
          <t>BENGTSFORS</t>
        </is>
      </c>
      <c r="I212" t="n">
        <v>0.9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s="2" t="inlineStr"/>
    </row>
    <row r="213" ht="15" customHeight="1">
      <c r="A213" t="inlineStr">
        <is>
          <t>A 58265-2022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44901</v>
      </c>
      <c r="E213" s="1" t="n">
        <v>46218</v>
      </c>
      <c r="F213" t="inlineStr">
        <is>
          <t>VÄSTRA GÖTALANDS LÄN</t>
        </is>
      </c>
      <c r="G213" t="inlineStr">
        <is>
          <t>BENGTSFORS</t>
        </is>
      </c>
      <c r="I213" t="n">
        <v>1.9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s="2" t="inlineStr"/>
    </row>
    <row r="214" ht="15" customHeight="1">
      <c r="A214" t="inlineStr">
        <is>
          <t>A 44462-2023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45189</v>
      </c>
      <c r="E214" s="1" t="n">
        <v>46218</v>
      </c>
      <c r="F214" t="inlineStr">
        <is>
          <t>VÄSTRA GÖTALANDS LÄN</t>
        </is>
      </c>
      <c r="G214" t="inlineStr">
        <is>
          <t>BENGTSFORS</t>
        </is>
      </c>
      <c r="I214" t="n">
        <v>2.5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s="2" t="inlineStr"/>
    </row>
    <row r="215" ht="15" customHeight="1">
      <c r="A215" t="inlineStr">
        <is>
          <t>A 45602-2024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45579</v>
      </c>
      <c r="E215" s="1" t="n">
        <v>46218</v>
      </c>
      <c r="F215" t="inlineStr">
        <is>
          <t>VÄSTRA GÖTALANDS LÄN</t>
        </is>
      </c>
      <c r="G215" t="inlineStr">
        <is>
          <t>BENGTSFORS</t>
        </is>
      </c>
      <c r="I215" t="n">
        <v>0.8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s="2" t="inlineStr"/>
    </row>
    <row r="216" ht="15" customHeight="1">
      <c r="A216" t="inlineStr">
        <is>
          <t>A 3155-2023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44946</v>
      </c>
      <c r="E216" s="1" t="n">
        <v>46218</v>
      </c>
      <c r="F216" t="inlineStr">
        <is>
          <t>VÄSTRA GÖTALANDS LÄN</t>
        </is>
      </c>
      <c r="G216" t="inlineStr">
        <is>
          <t>BENGTSFORS</t>
        </is>
      </c>
      <c r="I216" t="n">
        <v>2.8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s="2" t="inlineStr"/>
    </row>
    <row r="217" ht="15" customHeight="1">
      <c r="A217" t="inlineStr">
        <is>
          <t>A 11905-2024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45376</v>
      </c>
      <c r="E217" s="1" t="n">
        <v>46218</v>
      </c>
      <c r="F217" t="inlineStr">
        <is>
          <t>VÄSTRA GÖTALANDS LÄN</t>
        </is>
      </c>
      <c r="G217" t="inlineStr">
        <is>
          <t>BENGTSFORS</t>
        </is>
      </c>
      <c r="I217" t="n">
        <v>0.7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s="2" t="inlineStr"/>
    </row>
    <row r="218" ht="15" customHeight="1">
      <c r="A218" t="inlineStr">
        <is>
          <t>A 44264-2023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45181</v>
      </c>
      <c r="E218" s="1" t="n">
        <v>46218</v>
      </c>
      <c r="F218" t="inlineStr">
        <is>
          <t>VÄSTRA GÖTALANDS LÄN</t>
        </is>
      </c>
      <c r="G218" t="inlineStr">
        <is>
          <t>BENGTSFORS</t>
        </is>
      </c>
      <c r="I218" t="n">
        <v>5.8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s="2" t="inlineStr"/>
    </row>
    <row r="219" ht="15" customHeight="1">
      <c r="A219" t="inlineStr">
        <is>
          <t>A 9716-2025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45716</v>
      </c>
      <c r="E219" s="1" t="n">
        <v>46218</v>
      </c>
      <c r="F219" t="inlineStr">
        <is>
          <t>VÄSTRA GÖTALANDS LÄN</t>
        </is>
      </c>
      <c r="G219" t="inlineStr">
        <is>
          <t>BENGTSFORS</t>
        </is>
      </c>
      <c r="I219" t="n">
        <v>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s="2" t="inlineStr"/>
    </row>
    <row r="220" ht="15" customHeight="1">
      <c r="A220" t="inlineStr">
        <is>
          <t>A 41402-2025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45901</v>
      </c>
      <c r="E220" s="1" t="n">
        <v>46218</v>
      </c>
      <c r="F220" t="inlineStr">
        <is>
          <t>VÄSTRA GÖTALANDS LÄN</t>
        </is>
      </c>
      <c r="G220" t="inlineStr">
        <is>
          <t>BENGTSFORS</t>
        </is>
      </c>
      <c r="I220" t="n">
        <v>1.3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s="2" t="inlineStr"/>
    </row>
    <row r="221" ht="15" customHeight="1">
      <c r="A221" t="inlineStr">
        <is>
          <t>A 31381-2025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45833</v>
      </c>
      <c r="E221" s="1" t="n">
        <v>46218</v>
      </c>
      <c r="F221" t="inlineStr">
        <is>
          <t>VÄSTRA GÖTALANDS LÄN</t>
        </is>
      </c>
      <c r="G221" t="inlineStr">
        <is>
          <t>BENGTSFORS</t>
        </is>
      </c>
      <c r="I221" t="n">
        <v>1.2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s="2" t="inlineStr"/>
    </row>
    <row r="222" ht="15" customHeight="1">
      <c r="A222" t="inlineStr">
        <is>
          <t>A 50986-2024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45603</v>
      </c>
      <c r="E222" s="1" t="n">
        <v>46218</v>
      </c>
      <c r="F222" t="inlineStr">
        <is>
          <t>VÄSTRA GÖTALANDS LÄN</t>
        </is>
      </c>
      <c r="G222" t="inlineStr">
        <is>
          <t>BENGTSFORS</t>
        </is>
      </c>
      <c r="I222" t="n">
        <v>1.6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s="2" t="inlineStr"/>
    </row>
    <row r="223" ht="15" customHeight="1">
      <c r="A223" t="inlineStr">
        <is>
          <t>A 44812-2024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45574</v>
      </c>
      <c r="E223" s="1" t="n">
        <v>46218</v>
      </c>
      <c r="F223" t="inlineStr">
        <is>
          <t>VÄSTRA GÖTALANDS LÄN</t>
        </is>
      </c>
      <c r="G223" t="inlineStr">
        <is>
          <t>BENGTSFORS</t>
        </is>
      </c>
      <c r="I223" t="n">
        <v>0.7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s="2" t="inlineStr"/>
    </row>
    <row r="224" ht="15" customHeight="1">
      <c r="A224" t="inlineStr">
        <is>
          <t>A 2956-2022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44581</v>
      </c>
      <c r="E224" s="1" t="n">
        <v>46218</v>
      </c>
      <c r="F224" t="inlineStr">
        <is>
          <t>VÄSTRA GÖTALANDS LÄN</t>
        </is>
      </c>
      <c r="G224" t="inlineStr">
        <is>
          <t>BENGTSFORS</t>
        </is>
      </c>
      <c r="I224" t="n">
        <v>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s="2" t="inlineStr"/>
    </row>
    <row r="225" ht="15" customHeight="1">
      <c r="A225" t="inlineStr">
        <is>
          <t>A 9907-2022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44620</v>
      </c>
      <c r="E225" s="1" t="n">
        <v>46218</v>
      </c>
      <c r="F225" t="inlineStr">
        <is>
          <t>VÄSTRA GÖTALANDS LÄN</t>
        </is>
      </c>
      <c r="G225" t="inlineStr">
        <is>
          <t>BENGTSFORS</t>
        </is>
      </c>
      <c r="I225" t="n">
        <v>2.5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s="2" t="inlineStr"/>
    </row>
    <row r="226" ht="15" customHeight="1">
      <c r="A226" t="inlineStr">
        <is>
          <t>A 60984-2024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45645</v>
      </c>
      <c r="E226" s="1" t="n">
        <v>46218</v>
      </c>
      <c r="F226" t="inlineStr">
        <is>
          <t>VÄSTRA GÖTALANDS LÄN</t>
        </is>
      </c>
      <c r="G226" t="inlineStr">
        <is>
          <t>BENGTSFORS</t>
        </is>
      </c>
      <c r="I226" t="n">
        <v>2.8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s="2" t="inlineStr"/>
    </row>
    <row r="227" ht="15" customHeight="1">
      <c r="A227" t="inlineStr">
        <is>
          <t>A 400-2025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45663</v>
      </c>
      <c r="E227" s="1" t="n">
        <v>46218</v>
      </c>
      <c r="F227" t="inlineStr">
        <is>
          <t>VÄSTRA GÖTALANDS LÄN</t>
        </is>
      </c>
      <c r="G227" t="inlineStr">
        <is>
          <t>BENGTSFORS</t>
        </is>
      </c>
      <c r="I227" t="n">
        <v>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s="2" t="inlineStr"/>
    </row>
    <row r="228" ht="15" customHeight="1">
      <c r="A228" t="inlineStr">
        <is>
          <t>A 41990-2025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45903</v>
      </c>
      <c r="E228" s="1" t="n">
        <v>46218</v>
      </c>
      <c r="F228" t="inlineStr">
        <is>
          <t>VÄSTRA GÖTALANDS LÄN</t>
        </is>
      </c>
      <c r="G228" t="inlineStr">
        <is>
          <t>BENGTSFORS</t>
        </is>
      </c>
      <c r="I228" t="n">
        <v>6.7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s="2" t="inlineStr"/>
    </row>
    <row r="229" ht="15" customHeight="1">
      <c r="A229" t="inlineStr">
        <is>
          <t>A 41806-2025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45902</v>
      </c>
      <c r="E229" s="1" t="n">
        <v>46218</v>
      </c>
      <c r="F229" t="inlineStr">
        <is>
          <t>VÄSTRA GÖTALANDS LÄN</t>
        </is>
      </c>
      <c r="G229" t="inlineStr">
        <is>
          <t>BENGTSFORS</t>
        </is>
      </c>
      <c r="I229" t="n">
        <v>3.4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s="2" t="inlineStr"/>
    </row>
    <row r="230" ht="15" customHeight="1">
      <c r="A230" t="inlineStr">
        <is>
          <t>A 38809-2024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45547</v>
      </c>
      <c r="E230" s="1" t="n">
        <v>46218</v>
      </c>
      <c r="F230" t="inlineStr">
        <is>
          <t>VÄSTRA GÖTALANDS LÄN</t>
        </is>
      </c>
      <c r="G230" t="inlineStr">
        <is>
          <t>BENGTSFORS</t>
        </is>
      </c>
      <c r="I230" t="n">
        <v>4.3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s="2" t="inlineStr"/>
    </row>
    <row r="231" ht="15" customHeight="1">
      <c r="A231" t="inlineStr">
        <is>
          <t>A 57692-2024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45630</v>
      </c>
      <c r="E231" s="1" t="n">
        <v>46218</v>
      </c>
      <c r="F231" t="inlineStr">
        <is>
          <t>VÄSTRA GÖTALANDS LÄN</t>
        </is>
      </c>
      <c r="G231" t="inlineStr">
        <is>
          <t>BENGTSFORS</t>
        </is>
      </c>
      <c r="H231" t="inlineStr">
        <is>
          <t>Kyrkan</t>
        </is>
      </c>
      <c r="I231" t="n">
        <v>10.8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s="2" t="inlineStr"/>
    </row>
    <row r="232" ht="15" customHeight="1">
      <c r="A232" t="inlineStr">
        <is>
          <t>A 24115-2023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45079</v>
      </c>
      <c r="E232" s="1" t="n">
        <v>46218</v>
      </c>
      <c r="F232" t="inlineStr">
        <is>
          <t>VÄSTRA GÖTALANDS LÄN</t>
        </is>
      </c>
      <c r="G232" t="inlineStr">
        <is>
          <t>BENGTSFORS</t>
        </is>
      </c>
      <c r="I232" t="n">
        <v>0.3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s="2" t="inlineStr"/>
    </row>
    <row r="233" ht="15" customHeight="1">
      <c r="A233" t="inlineStr">
        <is>
          <t>A 19868-2023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45054</v>
      </c>
      <c r="E233" s="1" t="n">
        <v>46218</v>
      </c>
      <c r="F233" t="inlineStr">
        <is>
          <t>VÄSTRA GÖTALANDS LÄN</t>
        </is>
      </c>
      <c r="G233" t="inlineStr">
        <is>
          <t>BENGTSFORS</t>
        </is>
      </c>
      <c r="I233" t="n">
        <v>1.5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s="2" t="inlineStr"/>
    </row>
    <row r="234" ht="15" customHeight="1">
      <c r="A234" t="inlineStr">
        <is>
          <t>A 60023-2023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45258</v>
      </c>
      <c r="E234" s="1" t="n">
        <v>46218</v>
      </c>
      <c r="F234" t="inlineStr">
        <is>
          <t>VÄSTRA GÖTALANDS LÄN</t>
        </is>
      </c>
      <c r="G234" t="inlineStr">
        <is>
          <t>BENGTSFORS</t>
        </is>
      </c>
      <c r="I234" t="n">
        <v>0.7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s="2" t="inlineStr"/>
    </row>
    <row r="235" ht="15" customHeight="1">
      <c r="A235" t="inlineStr">
        <is>
          <t>A 41985-2025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45903</v>
      </c>
      <c r="E235" s="1" t="n">
        <v>46218</v>
      </c>
      <c r="F235" t="inlineStr">
        <is>
          <t>VÄSTRA GÖTALANDS LÄN</t>
        </is>
      </c>
      <c r="G235" t="inlineStr">
        <is>
          <t>BENGTSFORS</t>
        </is>
      </c>
      <c r="I235" t="n">
        <v>3.1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s="2" t="inlineStr"/>
    </row>
    <row r="236" ht="15" customHeight="1">
      <c r="A236" t="inlineStr">
        <is>
          <t>A 42425-2025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45905</v>
      </c>
      <c r="E236" s="1" t="n">
        <v>46218</v>
      </c>
      <c r="F236" t="inlineStr">
        <is>
          <t>VÄSTRA GÖTALANDS LÄN</t>
        </is>
      </c>
      <c r="G236" t="inlineStr">
        <is>
          <t>BENGTSFORS</t>
        </is>
      </c>
      <c r="I236" t="n">
        <v>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s="2" t="inlineStr"/>
    </row>
    <row r="237" ht="15" customHeight="1">
      <c r="A237" t="inlineStr">
        <is>
          <t>A 6816-2023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44967</v>
      </c>
      <c r="E237" s="1" t="n">
        <v>46218</v>
      </c>
      <c r="F237" t="inlineStr">
        <is>
          <t>VÄSTRA GÖTALANDS LÄN</t>
        </is>
      </c>
      <c r="G237" t="inlineStr">
        <is>
          <t>BENGTSFORS</t>
        </is>
      </c>
      <c r="I237" t="n">
        <v>0.4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s="2" t="inlineStr"/>
    </row>
    <row r="238" ht="15" customHeight="1">
      <c r="A238" t="inlineStr">
        <is>
          <t>A 11920-2024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45376</v>
      </c>
      <c r="E238" s="1" t="n">
        <v>46218</v>
      </c>
      <c r="F238" t="inlineStr">
        <is>
          <t>VÄSTRA GÖTALANDS LÄN</t>
        </is>
      </c>
      <c r="G238" t="inlineStr">
        <is>
          <t>BENGTSFORS</t>
        </is>
      </c>
      <c r="I238" t="n">
        <v>0.9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s="2" t="inlineStr"/>
    </row>
    <row r="239" ht="15" customHeight="1">
      <c r="A239" t="inlineStr">
        <is>
          <t>A 9154-2024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45358</v>
      </c>
      <c r="E239" s="1" t="n">
        <v>46218</v>
      </c>
      <c r="F239" t="inlineStr">
        <is>
          <t>VÄSTRA GÖTALANDS LÄN</t>
        </is>
      </c>
      <c r="G239" t="inlineStr">
        <is>
          <t>BENGTSFORS</t>
        </is>
      </c>
      <c r="I239" t="n">
        <v>5.7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s="2" t="inlineStr"/>
    </row>
    <row r="240" ht="15" customHeight="1">
      <c r="A240" t="inlineStr">
        <is>
          <t>A 6114-2022</t>
        </is>
      </c>
      <c r="B240" t="inlineStr">
        <is>
          <t>avverkningsanmälan</t>
        </is>
      </c>
      <c r="C240" t="inlineStr">
        <is>
          <t>Avverkning för annat ändamål</t>
        </is>
      </c>
      <c r="D240" s="1" t="n">
        <v>44599</v>
      </c>
      <c r="E240" s="1" t="n">
        <v>46218</v>
      </c>
      <c r="F240" t="inlineStr">
        <is>
          <t>VÄSTRA GÖTALANDS LÄN</t>
        </is>
      </c>
      <c r="G240" t="inlineStr">
        <is>
          <t>BENGTSFORS</t>
        </is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s="2" t="inlineStr"/>
    </row>
    <row r="241" ht="15" customHeight="1">
      <c r="A241" t="inlineStr">
        <is>
          <t>A 58996-2022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44903</v>
      </c>
      <c r="E241" s="1" t="n">
        <v>46218</v>
      </c>
      <c r="F241" t="inlineStr">
        <is>
          <t>VÄSTRA GÖTALANDS LÄN</t>
        </is>
      </c>
      <c r="G241" t="inlineStr">
        <is>
          <t>BENGTSFORS</t>
        </is>
      </c>
      <c r="I241" t="n">
        <v>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s="2" t="inlineStr"/>
    </row>
    <row r="242" ht="15" customHeight="1">
      <c r="A242" t="inlineStr">
        <is>
          <t>A 1765-2024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45307</v>
      </c>
      <c r="E242" s="1" t="n">
        <v>46218</v>
      </c>
      <c r="F242" t="inlineStr">
        <is>
          <t>VÄSTRA GÖTALANDS LÄN</t>
        </is>
      </c>
      <c r="G242" t="inlineStr">
        <is>
          <t>BENGTSFORS</t>
        </is>
      </c>
      <c r="I242" t="n">
        <v>4.2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s="2" t="inlineStr"/>
    </row>
    <row r="243" ht="15" customHeight="1">
      <c r="A243" t="inlineStr">
        <is>
          <t>A 669-2023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44930</v>
      </c>
      <c r="E243" s="1" t="n">
        <v>46218</v>
      </c>
      <c r="F243" t="inlineStr">
        <is>
          <t>VÄSTRA GÖTALANDS LÄN</t>
        </is>
      </c>
      <c r="G243" t="inlineStr">
        <is>
          <t>BENGTSFORS</t>
        </is>
      </c>
      <c r="I243" t="n">
        <v>2.3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s="2" t="inlineStr"/>
    </row>
    <row r="244" ht="15" customHeight="1">
      <c r="A244" t="inlineStr">
        <is>
          <t>A 26246-2023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45091</v>
      </c>
      <c r="E244" s="1" t="n">
        <v>46218</v>
      </c>
      <c r="F244" t="inlineStr">
        <is>
          <t>VÄSTRA GÖTALANDS LÄN</t>
        </is>
      </c>
      <c r="G244" t="inlineStr">
        <is>
          <t>BENGTSFORS</t>
        </is>
      </c>
      <c r="I244" t="n">
        <v>0.7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s="2" t="inlineStr"/>
    </row>
    <row r="245" ht="15" customHeight="1">
      <c r="A245" t="inlineStr">
        <is>
          <t>A 32728-2024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45516</v>
      </c>
      <c r="E245" s="1" t="n">
        <v>46218</v>
      </c>
      <c r="F245" t="inlineStr">
        <is>
          <t>VÄSTRA GÖTALANDS LÄN</t>
        </is>
      </c>
      <c r="G245" t="inlineStr">
        <is>
          <t>BENGTSFORS</t>
        </is>
      </c>
      <c r="H245" t="inlineStr">
        <is>
          <t>Kyrkan</t>
        </is>
      </c>
      <c r="I245" t="n">
        <v>1.6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s="2" t="inlineStr"/>
    </row>
    <row r="246" ht="15" customHeight="1">
      <c r="A246" t="inlineStr">
        <is>
          <t>A 15104-2024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45399</v>
      </c>
      <c r="E246" s="1" t="n">
        <v>46218</v>
      </c>
      <c r="F246" t="inlineStr">
        <is>
          <t>VÄSTRA GÖTALANDS LÄN</t>
        </is>
      </c>
      <c r="G246" t="inlineStr">
        <is>
          <t>BENGTSFORS</t>
        </is>
      </c>
      <c r="I246" t="n">
        <v>1.6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s="2" t="inlineStr"/>
    </row>
    <row r="247" ht="15" customHeight="1">
      <c r="A247" t="inlineStr">
        <is>
          <t>A 2084-2025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45672</v>
      </c>
      <c r="E247" s="1" t="n">
        <v>46218</v>
      </c>
      <c r="F247" t="inlineStr">
        <is>
          <t>VÄSTRA GÖTALANDS LÄN</t>
        </is>
      </c>
      <c r="G247" t="inlineStr">
        <is>
          <t>BENGTSFORS</t>
        </is>
      </c>
      <c r="I247" t="n">
        <v>0.6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s="2" t="inlineStr"/>
    </row>
    <row r="248" ht="15" customHeight="1">
      <c r="A248" t="inlineStr">
        <is>
          <t>A 2803-2023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44944</v>
      </c>
      <c r="E248" s="1" t="n">
        <v>46218</v>
      </c>
      <c r="F248" t="inlineStr">
        <is>
          <t>VÄSTRA GÖTALANDS LÄN</t>
        </is>
      </c>
      <c r="G248" t="inlineStr">
        <is>
          <t>BENGTSFORS</t>
        </is>
      </c>
      <c r="I248" t="n">
        <v>0.8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s="2" t="inlineStr"/>
    </row>
    <row r="249" ht="15" customHeight="1">
      <c r="A249" t="inlineStr">
        <is>
          <t>A 42386-2023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45180</v>
      </c>
      <c r="E249" s="1" t="n">
        <v>46218</v>
      </c>
      <c r="F249" t="inlineStr">
        <is>
          <t>VÄSTRA GÖTALANDS LÄN</t>
        </is>
      </c>
      <c r="G249" t="inlineStr">
        <is>
          <t>BENGTSFORS</t>
        </is>
      </c>
      <c r="I249" t="n">
        <v>1.1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s="2" t="inlineStr"/>
    </row>
    <row r="250" ht="15" customHeight="1">
      <c r="A250" t="inlineStr">
        <is>
          <t>A 19937-2025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45771</v>
      </c>
      <c r="E250" s="1" t="n">
        <v>46218</v>
      </c>
      <c r="F250" t="inlineStr">
        <is>
          <t>VÄSTRA GÖTALANDS LÄN</t>
        </is>
      </c>
      <c r="G250" t="inlineStr">
        <is>
          <t>BENGTSFORS</t>
        </is>
      </c>
      <c r="I250" t="n">
        <v>9.199999999999999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s="2" t="inlineStr"/>
    </row>
    <row r="251" ht="15" customHeight="1">
      <c r="A251" t="inlineStr">
        <is>
          <t>A 48837-2023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45203</v>
      </c>
      <c r="E251" s="1" t="n">
        <v>46218</v>
      </c>
      <c r="F251" t="inlineStr">
        <is>
          <t>VÄSTRA GÖTALANDS LÄN</t>
        </is>
      </c>
      <c r="G251" t="inlineStr">
        <is>
          <t>BENGTSFORS</t>
        </is>
      </c>
      <c r="H251" t="inlineStr">
        <is>
          <t>Kyrkan</t>
        </is>
      </c>
      <c r="I251" t="n">
        <v>6.8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s="2" t="inlineStr"/>
    </row>
    <row r="252" ht="15" customHeight="1">
      <c r="A252" t="inlineStr">
        <is>
          <t>A 45605-2024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45579</v>
      </c>
      <c r="E252" s="1" t="n">
        <v>46218</v>
      </c>
      <c r="F252" t="inlineStr">
        <is>
          <t>VÄSTRA GÖTALANDS LÄN</t>
        </is>
      </c>
      <c r="G252" t="inlineStr">
        <is>
          <t>BENGTSFORS</t>
        </is>
      </c>
      <c r="I252" t="n">
        <v>0.5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s="2" t="inlineStr"/>
    </row>
    <row r="253" ht="15" customHeight="1">
      <c r="A253" t="inlineStr">
        <is>
          <t>A 23407-2023</t>
        </is>
      </c>
      <c r="B253" t="inlineStr">
        <is>
          <t>avverkningsanmälan</t>
        </is>
      </c>
      <c r="C253" t="inlineStr">
        <is>
          <t>Avverkning för annat ändamål</t>
        </is>
      </c>
      <c r="D253" s="1" t="n">
        <v>45076</v>
      </c>
      <c r="E253" s="1" t="n">
        <v>46218</v>
      </c>
      <c r="F253" t="inlineStr">
        <is>
          <t>VÄSTRA GÖTALANDS LÄN</t>
        </is>
      </c>
      <c r="G253" t="inlineStr">
        <is>
          <t>BENGTSFORS</t>
        </is>
      </c>
      <c r="I253" t="n">
        <v>0.1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s="2" t="inlineStr"/>
    </row>
    <row r="254" ht="15" customHeight="1">
      <c r="A254" t="inlineStr">
        <is>
          <t>A 43918-2025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45914</v>
      </c>
      <c r="E254" s="1" t="n">
        <v>46218</v>
      </c>
      <c r="F254" t="inlineStr">
        <is>
          <t>VÄSTRA GÖTALANDS LÄN</t>
        </is>
      </c>
      <c r="G254" t="inlineStr">
        <is>
          <t>BENGTSFORS</t>
        </is>
      </c>
      <c r="I254" t="n">
        <v>1.2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s="2" t="inlineStr"/>
    </row>
    <row r="255" ht="15" customHeight="1">
      <c r="A255" t="inlineStr">
        <is>
          <t>A 43920-2025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45914</v>
      </c>
      <c r="E255" s="1" t="n">
        <v>46218</v>
      </c>
      <c r="F255" t="inlineStr">
        <is>
          <t>VÄSTRA GÖTALANDS LÄN</t>
        </is>
      </c>
      <c r="G255" t="inlineStr">
        <is>
          <t>BENGTSFORS</t>
        </is>
      </c>
      <c r="I255" t="n">
        <v>0.4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s="2" t="inlineStr"/>
    </row>
    <row r="256" ht="15" customHeight="1">
      <c r="A256" t="inlineStr">
        <is>
          <t>A 43921-2025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45914</v>
      </c>
      <c r="E256" s="1" t="n">
        <v>46218</v>
      </c>
      <c r="F256" t="inlineStr">
        <is>
          <t>VÄSTRA GÖTALANDS LÄN</t>
        </is>
      </c>
      <c r="G256" t="inlineStr">
        <is>
          <t>BENGTSFORS</t>
        </is>
      </c>
      <c r="I256" t="n">
        <v>0.4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s="2" t="inlineStr"/>
    </row>
    <row r="257" ht="15" customHeight="1">
      <c r="A257" t="inlineStr">
        <is>
          <t>A 57202-2022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44895</v>
      </c>
      <c r="E257" s="1" t="n">
        <v>46218</v>
      </c>
      <c r="F257" t="inlineStr">
        <is>
          <t>VÄSTRA GÖTALANDS LÄN</t>
        </is>
      </c>
      <c r="G257" t="inlineStr">
        <is>
          <t>BENGTSFORS</t>
        </is>
      </c>
      <c r="I257" t="n">
        <v>0.8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s="2" t="inlineStr"/>
    </row>
    <row r="258" ht="15" customHeight="1">
      <c r="A258" t="inlineStr">
        <is>
          <t>A 40838-2024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45558</v>
      </c>
      <c r="E258" s="1" t="n">
        <v>46218</v>
      </c>
      <c r="F258" t="inlineStr">
        <is>
          <t>VÄSTRA GÖTALANDS LÄN</t>
        </is>
      </c>
      <c r="G258" t="inlineStr">
        <is>
          <t>BENGTSFORS</t>
        </is>
      </c>
      <c r="I258" t="n">
        <v>0.6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s="2" t="inlineStr"/>
    </row>
    <row r="259" ht="15" customHeight="1">
      <c r="A259" t="inlineStr">
        <is>
          <t>A 42042-2022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44830</v>
      </c>
      <c r="E259" s="1" t="n">
        <v>46218</v>
      </c>
      <c r="F259" t="inlineStr">
        <is>
          <t>VÄSTRA GÖTALANDS LÄN</t>
        </is>
      </c>
      <c r="G259" t="inlineStr">
        <is>
          <t>BENGTSFORS</t>
        </is>
      </c>
      <c r="I259" t="n">
        <v>6.2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s="2" t="inlineStr"/>
    </row>
    <row r="260" ht="15" customHeight="1">
      <c r="A260" t="inlineStr">
        <is>
          <t>A 40856-2024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45558</v>
      </c>
      <c r="E260" s="1" t="n">
        <v>46218</v>
      </c>
      <c r="F260" t="inlineStr">
        <is>
          <t>VÄSTRA GÖTALANDS LÄN</t>
        </is>
      </c>
      <c r="G260" t="inlineStr">
        <is>
          <t>BENGTSFORS</t>
        </is>
      </c>
      <c r="I260" t="n">
        <v>3.2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s="2" t="inlineStr"/>
    </row>
    <row r="261" ht="15" customHeight="1">
      <c r="A261" t="inlineStr">
        <is>
          <t>A 44315-2025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45916</v>
      </c>
      <c r="E261" s="1" t="n">
        <v>46218</v>
      </c>
      <c r="F261" t="inlineStr">
        <is>
          <t>VÄSTRA GÖTALANDS LÄN</t>
        </is>
      </c>
      <c r="G261" t="inlineStr">
        <is>
          <t>BENGTSFORS</t>
        </is>
      </c>
      <c r="I261" t="n">
        <v>1.5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s="2" t="inlineStr"/>
    </row>
    <row r="262" ht="15" customHeight="1">
      <c r="A262" t="inlineStr">
        <is>
          <t>A 60429-2024</t>
        </is>
      </c>
      <c r="B262" t="inlineStr">
        <is>
          <t>avverkningsanmälan</t>
        </is>
      </c>
      <c r="C262" t="inlineStr">
        <is>
          <t>Avverkning för annat ändamål</t>
        </is>
      </c>
      <c r="D262" s="1" t="n">
        <v>45643</v>
      </c>
      <c r="E262" s="1" t="n">
        <v>46218</v>
      </c>
      <c r="F262" t="inlineStr">
        <is>
          <t>VÄSTRA GÖTALANDS LÄN</t>
        </is>
      </c>
      <c r="G262" t="inlineStr">
        <is>
          <t>BENGTSFORS</t>
        </is>
      </c>
      <c r="I262" t="n">
        <v>0.5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s="2" t="inlineStr"/>
    </row>
    <row r="263" ht="15" customHeight="1">
      <c r="A263" t="inlineStr">
        <is>
          <t>A 60177-2023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45258</v>
      </c>
      <c r="E263" s="1" t="n">
        <v>46218</v>
      </c>
      <c r="F263" t="inlineStr">
        <is>
          <t>VÄSTRA GÖTALANDS LÄN</t>
        </is>
      </c>
      <c r="G263" t="inlineStr">
        <is>
          <t>BENGTSFORS</t>
        </is>
      </c>
      <c r="I263" t="n">
        <v>5.2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s="2" t="inlineStr"/>
    </row>
    <row r="264" ht="15" customHeight="1">
      <c r="A264" t="inlineStr">
        <is>
          <t>A 59285-2022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44904</v>
      </c>
      <c r="E264" s="1" t="n">
        <v>46218</v>
      </c>
      <c r="F264" t="inlineStr">
        <is>
          <t>VÄSTRA GÖTALANDS LÄN</t>
        </is>
      </c>
      <c r="G264" t="inlineStr">
        <is>
          <t>BENGTSFORS</t>
        </is>
      </c>
      <c r="I264" t="n">
        <v>0.7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s="2" t="inlineStr"/>
    </row>
    <row r="265" ht="15" customHeight="1">
      <c r="A265" t="inlineStr">
        <is>
          <t>A 8986-2024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45356</v>
      </c>
      <c r="E265" s="1" t="n">
        <v>46218</v>
      </c>
      <c r="F265" t="inlineStr">
        <is>
          <t>VÄSTRA GÖTALANDS LÄN</t>
        </is>
      </c>
      <c r="G265" t="inlineStr">
        <is>
          <t>BENGTSFORS</t>
        </is>
      </c>
      <c r="I265" t="n">
        <v>4.3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s="2" t="inlineStr"/>
    </row>
    <row r="266" ht="15" customHeight="1">
      <c r="A266" t="inlineStr">
        <is>
          <t>A 9099-2024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45357</v>
      </c>
      <c r="E266" s="1" t="n">
        <v>46218</v>
      </c>
      <c r="F266" t="inlineStr">
        <is>
          <t>VÄSTRA GÖTALANDS LÄN</t>
        </is>
      </c>
      <c r="G266" t="inlineStr">
        <is>
          <t>BENGTSFORS</t>
        </is>
      </c>
      <c r="I266" t="n">
        <v>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s="2" t="inlineStr"/>
    </row>
    <row r="267" ht="15" customHeight="1">
      <c r="A267" t="inlineStr">
        <is>
          <t>A 13953-2023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45008</v>
      </c>
      <c r="E267" s="1" t="n">
        <v>46218</v>
      </c>
      <c r="F267" t="inlineStr">
        <is>
          <t>VÄSTRA GÖTALANDS LÄN</t>
        </is>
      </c>
      <c r="G267" t="inlineStr">
        <is>
          <t>BENGTSFORS</t>
        </is>
      </c>
      <c r="I267" t="n">
        <v>1.2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s="2" t="inlineStr"/>
    </row>
    <row r="268" ht="15" customHeight="1">
      <c r="A268" t="inlineStr">
        <is>
          <t>A 60522-2024</t>
        </is>
      </c>
      <c r="B268" t="inlineStr">
        <is>
          <t>avverkningsanmälan</t>
        </is>
      </c>
      <c r="C268" t="inlineStr">
        <is>
          <t>Avverkning för annat ändamål</t>
        </is>
      </c>
      <c r="D268" s="1" t="n">
        <v>45643</v>
      </c>
      <c r="E268" s="1" t="n">
        <v>46218</v>
      </c>
      <c r="F268" t="inlineStr">
        <is>
          <t>VÄSTRA GÖTALANDS LÄN</t>
        </is>
      </c>
      <c r="G268" t="inlineStr">
        <is>
          <t>BENGTSFORS</t>
        </is>
      </c>
      <c r="I268" t="n">
        <v>0.6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s="2" t="inlineStr"/>
    </row>
    <row r="269" ht="15" customHeight="1">
      <c r="A269" t="inlineStr">
        <is>
          <t>A 60525-2024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45643</v>
      </c>
      <c r="E269" s="1" t="n">
        <v>46218</v>
      </c>
      <c r="F269" t="inlineStr">
        <is>
          <t>VÄSTRA GÖTALANDS LÄN</t>
        </is>
      </c>
      <c r="G269" t="inlineStr">
        <is>
          <t>BENGTSFORS</t>
        </is>
      </c>
      <c r="I269" t="n">
        <v>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s="2" t="inlineStr"/>
    </row>
    <row r="270" ht="15" customHeight="1">
      <c r="A270" t="inlineStr">
        <is>
          <t>A 7263-2025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45702</v>
      </c>
      <c r="E270" s="1" t="n">
        <v>46218</v>
      </c>
      <c r="F270" t="inlineStr">
        <is>
          <t>VÄSTRA GÖTALANDS LÄN</t>
        </is>
      </c>
      <c r="G270" t="inlineStr">
        <is>
          <t>BENGTSFORS</t>
        </is>
      </c>
      <c r="I270" t="n">
        <v>3.1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s="2" t="inlineStr"/>
    </row>
    <row r="271" ht="15" customHeight="1">
      <c r="A271" t="inlineStr">
        <is>
          <t>A 61833-2024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45649</v>
      </c>
      <c r="E271" s="1" t="n">
        <v>46218</v>
      </c>
      <c r="F271" t="inlineStr">
        <is>
          <t>VÄSTRA GÖTALANDS LÄN</t>
        </is>
      </c>
      <c r="G271" t="inlineStr">
        <is>
          <t>BENGTSFORS</t>
        </is>
      </c>
      <c r="I271" t="n">
        <v>3.2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s="2" t="inlineStr"/>
    </row>
    <row r="272" ht="15" customHeight="1">
      <c r="A272" t="inlineStr">
        <is>
          <t>A 66391-2021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44518</v>
      </c>
      <c r="E272" s="1" t="n">
        <v>46218</v>
      </c>
      <c r="F272" t="inlineStr">
        <is>
          <t>VÄSTRA GÖTALANDS LÄN</t>
        </is>
      </c>
      <c r="G272" t="inlineStr">
        <is>
          <t>BENGTSFORS</t>
        </is>
      </c>
      <c r="I272" t="n">
        <v>4.9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s="2" t="inlineStr"/>
    </row>
    <row r="273" ht="15" customHeight="1">
      <c r="A273" t="inlineStr">
        <is>
          <t>A 11721-2022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44634</v>
      </c>
      <c r="E273" s="1" t="n">
        <v>46218</v>
      </c>
      <c r="F273" t="inlineStr">
        <is>
          <t>VÄSTRA GÖTALANDS LÄN</t>
        </is>
      </c>
      <c r="G273" t="inlineStr">
        <is>
          <t>BENGTSFORS</t>
        </is>
      </c>
      <c r="I273" t="n">
        <v>12.8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s="2" t="inlineStr"/>
    </row>
    <row r="274" ht="15" customHeight="1">
      <c r="A274" t="inlineStr">
        <is>
          <t>A 19294-2022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44692</v>
      </c>
      <c r="E274" s="1" t="n">
        <v>46218</v>
      </c>
      <c r="F274" t="inlineStr">
        <is>
          <t>VÄSTRA GÖTALANDS LÄN</t>
        </is>
      </c>
      <c r="G274" t="inlineStr">
        <is>
          <t>BENGTSFORS</t>
        </is>
      </c>
      <c r="I274" t="n">
        <v>4.8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s="2" t="inlineStr"/>
    </row>
    <row r="275" ht="15" customHeight="1">
      <c r="A275" t="inlineStr">
        <is>
          <t>A 60105-2021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44495</v>
      </c>
      <c r="E275" s="1" t="n">
        <v>46218</v>
      </c>
      <c r="F275" t="inlineStr">
        <is>
          <t>VÄSTRA GÖTALANDS LÄN</t>
        </is>
      </c>
      <c r="G275" t="inlineStr">
        <is>
          <t>BENGTSFORS</t>
        </is>
      </c>
      <c r="I275" t="n">
        <v>1.8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s="2" t="inlineStr"/>
    </row>
    <row r="276" ht="15" customHeight="1">
      <c r="A276" t="inlineStr">
        <is>
          <t>A 22601-2023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45071</v>
      </c>
      <c r="E276" s="1" t="n">
        <v>46218</v>
      </c>
      <c r="F276" t="inlineStr">
        <is>
          <t>VÄSTRA GÖTALANDS LÄN</t>
        </is>
      </c>
      <c r="G276" t="inlineStr">
        <is>
          <t>BENGTSFORS</t>
        </is>
      </c>
      <c r="I276" t="n">
        <v>3.3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s="2" t="inlineStr"/>
    </row>
    <row r="277" ht="15" customHeight="1">
      <c r="A277" t="inlineStr">
        <is>
          <t>A 13185-2024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45386</v>
      </c>
      <c r="E277" s="1" t="n">
        <v>46218</v>
      </c>
      <c r="F277" t="inlineStr">
        <is>
          <t>VÄSTRA GÖTALANDS LÄN</t>
        </is>
      </c>
      <c r="G277" t="inlineStr">
        <is>
          <t>BENGTSFORS</t>
        </is>
      </c>
      <c r="I277" t="n">
        <v>2.3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s="2" t="inlineStr"/>
    </row>
    <row r="278" ht="15" customHeight="1">
      <c r="A278" t="inlineStr">
        <is>
          <t>A 39702-2023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45167</v>
      </c>
      <c r="E278" s="1" t="n">
        <v>46218</v>
      </c>
      <c r="F278" t="inlineStr">
        <is>
          <t>VÄSTRA GÖTALANDS LÄN</t>
        </is>
      </c>
      <c r="G278" t="inlineStr">
        <is>
          <t>BENGTSFORS</t>
        </is>
      </c>
      <c r="I278" t="n">
        <v>0.5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s="2" t="inlineStr"/>
    </row>
    <row r="279" ht="15" customHeight="1">
      <c r="A279" t="inlineStr">
        <is>
          <t>A 62190-2023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45267</v>
      </c>
      <c r="E279" s="1" t="n">
        <v>46218</v>
      </c>
      <c r="F279" t="inlineStr">
        <is>
          <t>VÄSTRA GÖTALANDS LÄN</t>
        </is>
      </c>
      <c r="G279" t="inlineStr">
        <is>
          <t>BENGTSFORS</t>
        </is>
      </c>
      <c r="I279" t="n">
        <v>5.3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s="2" t="inlineStr"/>
    </row>
    <row r="280" ht="15" customHeight="1">
      <c r="A280" t="inlineStr">
        <is>
          <t>A 61242-2024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45645</v>
      </c>
      <c r="E280" s="1" t="n">
        <v>46218</v>
      </c>
      <c r="F280" t="inlineStr">
        <is>
          <t>VÄSTRA GÖTALANDS LÄN</t>
        </is>
      </c>
      <c r="G280" t="inlineStr">
        <is>
          <t>BENGTSFORS</t>
        </is>
      </c>
      <c r="I280" t="n">
        <v>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s="2" t="inlineStr"/>
    </row>
    <row r="281" ht="15" customHeight="1">
      <c r="A281" t="inlineStr">
        <is>
          <t>A 11945-2024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45376</v>
      </c>
      <c r="E281" s="1" t="n">
        <v>46218</v>
      </c>
      <c r="F281" t="inlineStr">
        <is>
          <t>VÄSTRA GÖTALANDS LÄN</t>
        </is>
      </c>
      <c r="G281" t="inlineStr">
        <is>
          <t>BENGTSFORS</t>
        </is>
      </c>
      <c r="I281" t="n">
        <v>6.1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s="2" t="inlineStr"/>
    </row>
    <row r="282" ht="15" customHeight="1">
      <c r="A282" t="inlineStr">
        <is>
          <t>A 73594-2021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44552</v>
      </c>
      <c r="E282" s="1" t="n">
        <v>46218</v>
      </c>
      <c r="F282" t="inlineStr">
        <is>
          <t>VÄSTRA GÖTALANDS LÄN</t>
        </is>
      </c>
      <c r="G282" t="inlineStr">
        <is>
          <t>BENGTSFORS</t>
        </is>
      </c>
      <c r="I282" t="n">
        <v>2.7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s="2" t="inlineStr"/>
    </row>
    <row r="283" ht="15" customHeight="1">
      <c r="A283" t="inlineStr">
        <is>
          <t>A 22607-2023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45071</v>
      </c>
      <c r="E283" s="1" t="n">
        <v>46218</v>
      </c>
      <c r="F283" t="inlineStr">
        <is>
          <t>VÄSTRA GÖTALANDS LÄN</t>
        </is>
      </c>
      <c r="G283" t="inlineStr">
        <is>
          <t>BENGTSFORS</t>
        </is>
      </c>
      <c r="I283" t="n">
        <v>1.8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s="2" t="inlineStr"/>
    </row>
    <row r="284" ht="15" customHeight="1">
      <c r="A284" t="inlineStr">
        <is>
          <t>A 47892-2022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44855</v>
      </c>
      <c r="E284" s="1" t="n">
        <v>46218</v>
      </c>
      <c r="F284" t="inlineStr">
        <is>
          <t>VÄSTRA GÖTALANDS LÄN</t>
        </is>
      </c>
      <c r="G284" t="inlineStr">
        <is>
          <t>BENGTSFORS</t>
        </is>
      </c>
      <c r="I284" t="n">
        <v>1.2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s="2" t="inlineStr"/>
    </row>
    <row r="285" ht="15" customHeight="1">
      <c r="A285" t="inlineStr">
        <is>
          <t>A 42640-2021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44428</v>
      </c>
      <c r="E285" s="1" t="n">
        <v>46218</v>
      </c>
      <c r="F285" t="inlineStr">
        <is>
          <t>VÄSTRA GÖTALANDS LÄN</t>
        </is>
      </c>
      <c r="G285" t="inlineStr">
        <is>
          <t>BENGTSFORS</t>
        </is>
      </c>
      <c r="I285" t="n">
        <v>5.8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s="2" t="inlineStr"/>
    </row>
    <row r="286" ht="15" customHeight="1">
      <c r="A286" t="inlineStr">
        <is>
          <t>A 21373-2023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45063</v>
      </c>
      <c r="E286" s="1" t="n">
        <v>46218</v>
      </c>
      <c r="F286" t="inlineStr">
        <is>
          <t>VÄSTRA GÖTALANDS LÄN</t>
        </is>
      </c>
      <c r="G286" t="inlineStr">
        <is>
          <t>BENGTSFORS</t>
        </is>
      </c>
      <c r="I286" t="n">
        <v>4.4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s="2" t="inlineStr"/>
    </row>
    <row r="287" ht="15" customHeight="1">
      <c r="A287" t="inlineStr">
        <is>
          <t>A 16017-2024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45405</v>
      </c>
      <c r="E287" s="1" t="n">
        <v>46218</v>
      </c>
      <c r="F287" t="inlineStr">
        <is>
          <t>VÄSTRA GÖTALANDS LÄN</t>
        </is>
      </c>
      <c r="G287" t="inlineStr">
        <is>
          <t>BENGTSFORS</t>
        </is>
      </c>
      <c r="I287" t="n">
        <v>2.1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s="2" t="inlineStr"/>
    </row>
    <row r="288" ht="15" customHeight="1">
      <c r="A288" t="inlineStr">
        <is>
          <t>A 25955-2023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45090</v>
      </c>
      <c r="E288" s="1" t="n">
        <v>46218</v>
      </c>
      <c r="F288" t="inlineStr">
        <is>
          <t>VÄSTRA GÖTALANDS LÄN</t>
        </is>
      </c>
      <c r="G288" t="inlineStr">
        <is>
          <t>BENGTSFORS</t>
        </is>
      </c>
      <c r="I288" t="n">
        <v>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s="2" t="inlineStr"/>
    </row>
    <row r="289" ht="15" customHeight="1">
      <c r="A289" t="inlineStr">
        <is>
          <t>A 18290-2024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45422</v>
      </c>
      <c r="E289" s="1" t="n">
        <v>46218</v>
      </c>
      <c r="F289" t="inlineStr">
        <is>
          <t>VÄSTRA GÖTALANDS LÄN</t>
        </is>
      </c>
      <c r="G289" t="inlineStr">
        <is>
          <t>BENGTSFORS</t>
        </is>
      </c>
      <c r="I289" t="n">
        <v>2.8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s="2" t="inlineStr"/>
    </row>
    <row r="290" ht="15" customHeight="1">
      <c r="A290" t="inlineStr">
        <is>
          <t>A 72046-2021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44544</v>
      </c>
      <c r="E290" s="1" t="n">
        <v>46218</v>
      </c>
      <c r="F290" t="inlineStr">
        <is>
          <t>VÄSTRA GÖTALANDS LÄN</t>
        </is>
      </c>
      <c r="G290" t="inlineStr">
        <is>
          <t>BENGTSFORS</t>
        </is>
      </c>
      <c r="I290" t="n">
        <v>7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s="2" t="inlineStr"/>
    </row>
    <row r="291" ht="15" customHeight="1">
      <c r="A291" t="inlineStr">
        <is>
          <t>A 4760-2022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44592</v>
      </c>
      <c r="E291" s="1" t="n">
        <v>46218</v>
      </c>
      <c r="F291" t="inlineStr">
        <is>
          <t>VÄSTRA GÖTALANDS LÄN</t>
        </is>
      </c>
      <c r="G291" t="inlineStr">
        <is>
          <t>BENGTSFORS</t>
        </is>
      </c>
      <c r="I291" t="n">
        <v>1.8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s="2" t="inlineStr"/>
    </row>
    <row r="292" ht="15" customHeight="1">
      <c r="A292" t="inlineStr">
        <is>
          <t>A 46972-2024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45583</v>
      </c>
      <c r="E292" s="1" t="n">
        <v>46218</v>
      </c>
      <c r="F292" t="inlineStr">
        <is>
          <t>VÄSTRA GÖTALANDS LÄN</t>
        </is>
      </c>
      <c r="G292" t="inlineStr">
        <is>
          <t>BENGTSFORS</t>
        </is>
      </c>
      <c r="I292" t="n">
        <v>1.8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s="2" t="inlineStr"/>
    </row>
    <row r="293" ht="15" customHeight="1">
      <c r="A293" t="inlineStr">
        <is>
          <t>A 13655-2022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44648</v>
      </c>
      <c r="E293" s="1" t="n">
        <v>46218</v>
      </c>
      <c r="F293" t="inlineStr">
        <is>
          <t>VÄSTRA GÖTALANDS LÄN</t>
        </is>
      </c>
      <c r="G293" t="inlineStr">
        <is>
          <t>BENGTSFORS</t>
        </is>
      </c>
      <c r="I293" t="n">
        <v>2.8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s="2" t="inlineStr"/>
    </row>
    <row r="294" ht="15" customHeight="1">
      <c r="A294" t="inlineStr">
        <is>
          <t>A 2319-2024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45310</v>
      </c>
      <c r="E294" s="1" t="n">
        <v>46218</v>
      </c>
      <c r="F294" t="inlineStr">
        <is>
          <t>VÄSTRA GÖTALANDS LÄN</t>
        </is>
      </c>
      <c r="G294" t="inlineStr">
        <is>
          <t>BENGTSFORS</t>
        </is>
      </c>
      <c r="I294" t="n">
        <v>1.9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s="2" t="inlineStr"/>
    </row>
    <row r="295" ht="15" customHeight="1">
      <c r="A295" t="inlineStr">
        <is>
          <t>A 47884-2025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45932</v>
      </c>
      <c r="E295" s="1" t="n">
        <v>46218</v>
      </c>
      <c r="F295" t="inlineStr">
        <is>
          <t>VÄSTRA GÖTALANDS LÄN</t>
        </is>
      </c>
      <c r="G295" t="inlineStr">
        <is>
          <t>BENGTSFORS</t>
        </is>
      </c>
      <c r="I295" t="n">
        <v>1.6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s="2" t="inlineStr"/>
    </row>
    <row r="296" ht="15" customHeight="1">
      <c r="A296" t="inlineStr">
        <is>
          <t>A 41228-2024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45559</v>
      </c>
      <c r="E296" s="1" t="n">
        <v>46218</v>
      </c>
      <c r="F296" t="inlineStr">
        <is>
          <t>VÄSTRA GÖTALANDS LÄN</t>
        </is>
      </c>
      <c r="G296" t="inlineStr">
        <is>
          <t>BENGTSFORS</t>
        </is>
      </c>
      <c r="I296" t="n">
        <v>2.6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s="2" t="inlineStr"/>
    </row>
    <row r="297" ht="15" customHeight="1">
      <c r="A297" t="inlineStr">
        <is>
          <t>A 46323-2021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44442</v>
      </c>
      <c r="E297" s="1" t="n">
        <v>46218</v>
      </c>
      <c r="F297" t="inlineStr">
        <is>
          <t>VÄSTRA GÖTALANDS LÄN</t>
        </is>
      </c>
      <c r="G297" t="inlineStr">
        <is>
          <t>BENGTSFORS</t>
        </is>
      </c>
      <c r="I297" t="n">
        <v>1.8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s="2" t="inlineStr"/>
    </row>
    <row r="298" ht="15" customHeight="1">
      <c r="A298" t="inlineStr">
        <is>
          <t>A 14617-2022</t>
        </is>
      </c>
      <c r="B298" t="inlineStr">
        <is>
          <t>avverkningsanmälan</t>
        </is>
      </c>
      <c r="C298" t="inlineStr">
        <is>
          <t>Avverkning för annat ändamål</t>
        </is>
      </c>
      <c r="D298" s="1" t="n">
        <v>44655</v>
      </c>
      <c r="E298" s="1" t="n">
        <v>46218</v>
      </c>
      <c r="F298" t="inlineStr">
        <is>
          <t>VÄSTRA GÖTALANDS LÄN</t>
        </is>
      </c>
      <c r="G298" t="inlineStr">
        <is>
          <t>BENGTSFORS</t>
        </is>
      </c>
      <c r="I298" t="n">
        <v>1.4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s="2" t="inlineStr"/>
    </row>
    <row r="299" ht="15" customHeight="1">
      <c r="A299" t="inlineStr">
        <is>
          <t>A 61943-2022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44918</v>
      </c>
      <c r="E299" s="1" t="n">
        <v>46218</v>
      </c>
      <c r="F299" t="inlineStr">
        <is>
          <t>VÄSTRA GÖTALANDS LÄN</t>
        </is>
      </c>
      <c r="G299" t="inlineStr">
        <is>
          <t>BENGTSFORS</t>
        </is>
      </c>
      <c r="I299" t="n">
        <v>0.7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s="2" t="inlineStr"/>
    </row>
    <row r="300" ht="15" customHeight="1">
      <c r="A300" t="inlineStr">
        <is>
          <t>A 20284-2022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44698</v>
      </c>
      <c r="E300" s="1" t="n">
        <v>46218</v>
      </c>
      <c r="F300" t="inlineStr">
        <is>
          <t>VÄSTRA GÖTALANDS LÄN</t>
        </is>
      </c>
      <c r="G300" t="inlineStr">
        <is>
          <t>BENGTSFORS</t>
        </is>
      </c>
      <c r="I300" t="n">
        <v>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s="2" t="inlineStr"/>
    </row>
    <row r="301" ht="15" customHeight="1">
      <c r="A301" t="inlineStr">
        <is>
          <t>A 59621-2024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45638</v>
      </c>
      <c r="E301" s="1" t="n">
        <v>46218</v>
      </c>
      <c r="F301" t="inlineStr">
        <is>
          <t>VÄSTRA GÖTALANDS LÄN</t>
        </is>
      </c>
      <c r="G301" t="inlineStr">
        <is>
          <t>BENGTSFORS</t>
        </is>
      </c>
      <c r="I301" t="n">
        <v>0.6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s="2" t="inlineStr"/>
    </row>
    <row r="302" ht="15" customHeight="1">
      <c r="A302" t="inlineStr">
        <is>
          <t>A 73585-2021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44552</v>
      </c>
      <c r="E302" s="1" t="n">
        <v>46218</v>
      </c>
      <c r="F302" t="inlineStr">
        <is>
          <t>VÄSTRA GÖTALANDS LÄN</t>
        </is>
      </c>
      <c r="G302" t="inlineStr">
        <is>
          <t>BENGTSFORS</t>
        </is>
      </c>
      <c r="I302" t="n">
        <v>0.7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s="2" t="inlineStr"/>
    </row>
    <row r="303" ht="15" customHeight="1">
      <c r="A303" t="inlineStr">
        <is>
          <t>A 42409-2022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44831</v>
      </c>
      <c r="E303" s="1" t="n">
        <v>46218</v>
      </c>
      <c r="F303" t="inlineStr">
        <is>
          <t>VÄSTRA GÖTALANDS LÄN</t>
        </is>
      </c>
      <c r="G303" t="inlineStr">
        <is>
          <t>BENGTSFORS</t>
        </is>
      </c>
      <c r="I303" t="n">
        <v>1.1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s="2" t="inlineStr"/>
    </row>
    <row r="304" ht="15" customHeight="1">
      <c r="A304" t="inlineStr">
        <is>
          <t>A 47195-2023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45202</v>
      </c>
      <c r="E304" s="1" t="n">
        <v>46218</v>
      </c>
      <c r="F304" t="inlineStr">
        <is>
          <t>VÄSTRA GÖTALANDS LÄN</t>
        </is>
      </c>
      <c r="G304" t="inlineStr">
        <is>
          <t>BENGTSFORS</t>
        </is>
      </c>
      <c r="I304" t="n">
        <v>5.3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s="2" t="inlineStr"/>
    </row>
    <row r="305" ht="15" customHeight="1">
      <c r="A305" t="inlineStr">
        <is>
          <t>A 16181-2025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45750</v>
      </c>
      <c r="E305" s="1" t="n">
        <v>46218</v>
      </c>
      <c r="F305" t="inlineStr">
        <is>
          <t>VÄSTRA GÖTALANDS LÄN</t>
        </is>
      </c>
      <c r="G305" t="inlineStr">
        <is>
          <t>BENGTSFORS</t>
        </is>
      </c>
      <c r="I305" t="n">
        <v>2.5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s="2" t="inlineStr"/>
    </row>
    <row r="306" ht="15" customHeight="1">
      <c r="A306" t="inlineStr">
        <is>
          <t>A 5759-2024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45335</v>
      </c>
      <c r="E306" s="1" t="n">
        <v>46218</v>
      </c>
      <c r="F306" t="inlineStr">
        <is>
          <t>VÄSTRA GÖTALANDS LÄN</t>
        </is>
      </c>
      <c r="G306" t="inlineStr">
        <is>
          <t>BENGTSFORS</t>
        </is>
      </c>
      <c r="I306" t="n">
        <v>1.6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s="2" t="inlineStr"/>
    </row>
    <row r="307" ht="15" customHeight="1">
      <c r="A307" t="inlineStr">
        <is>
          <t>A 9698-2023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44984</v>
      </c>
      <c r="E307" s="1" t="n">
        <v>46218</v>
      </c>
      <c r="F307" t="inlineStr">
        <is>
          <t>VÄSTRA GÖTALANDS LÄN</t>
        </is>
      </c>
      <c r="G307" t="inlineStr">
        <is>
          <t>BENGTSFORS</t>
        </is>
      </c>
      <c r="I307" t="n">
        <v>2.6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s="2" t="inlineStr"/>
    </row>
    <row r="308" ht="15" customHeight="1">
      <c r="A308" t="inlineStr">
        <is>
          <t>A 19557-2023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45050</v>
      </c>
      <c r="E308" s="1" t="n">
        <v>46218</v>
      </c>
      <c r="F308" t="inlineStr">
        <is>
          <t>VÄSTRA GÖTALANDS LÄN</t>
        </is>
      </c>
      <c r="G308" t="inlineStr">
        <is>
          <t>BENGTSFORS</t>
        </is>
      </c>
      <c r="I308" t="n">
        <v>0.7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s="2" t="inlineStr"/>
    </row>
    <row r="309" ht="15" customHeight="1">
      <c r="A309" t="inlineStr">
        <is>
          <t>A 60926-2022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44914</v>
      </c>
      <c r="E309" s="1" t="n">
        <v>46218</v>
      </c>
      <c r="F309" t="inlineStr">
        <is>
          <t>VÄSTRA GÖTALANDS LÄN</t>
        </is>
      </c>
      <c r="G309" t="inlineStr">
        <is>
          <t>BENGTSFORS</t>
        </is>
      </c>
      <c r="I309" t="n">
        <v>6.5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s="2" t="inlineStr"/>
    </row>
    <row r="310" ht="15" customHeight="1">
      <c r="A310" t="inlineStr">
        <is>
          <t>A 46534-2023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45197</v>
      </c>
      <c r="E310" s="1" t="n">
        <v>46218</v>
      </c>
      <c r="F310" t="inlineStr">
        <is>
          <t>VÄSTRA GÖTALANDS LÄN</t>
        </is>
      </c>
      <c r="G310" t="inlineStr">
        <is>
          <t>BENGTSFORS</t>
        </is>
      </c>
      <c r="I310" t="n">
        <v>1.7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s="2" t="inlineStr"/>
    </row>
    <row r="311" ht="15" customHeight="1">
      <c r="A311" t="inlineStr">
        <is>
          <t>A 36430-2023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45151</v>
      </c>
      <c r="E311" s="1" t="n">
        <v>46218</v>
      </c>
      <c r="F311" t="inlineStr">
        <is>
          <t>VÄSTRA GÖTALANDS LÄN</t>
        </is>
      </c>
      <c r="G311" t="inlineStr">
        <is>
          <t>BENGTSFORS</t>
        </is>
      </c>
      <c r="I311" t="n">
        <v>1.2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s="2" t="inlineStr"/>
    </row>
    <row r="312" ht="15" customHeight="1">
      <c r="A312" t="inlineStr">
        <is>
          <t>A 25786-2023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45090</v>
      </c>
      <c r="E312" s="1" t="n">
        <v>46218</v>
      </c>
      <c r="F312" t="inlineStr">
        <is>
          <t>VÄSTRA GÖTALANDS LÄN</t>
        </is>
      </c>
      <c r="G312" t="inlineStr">
        <is>
          <t>BENGTSFORS</t>
        </is>
      </c>
      <c r="I312" t="n">
        <v>3.4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s="2" t="inlineStr"/>
    </row>
    <row r="313" ht="15" customHeight="1">
      <c r="A313" t="inlineStr">
        <is>
          <t>A 25832-2023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45090</v>
      </c>
      <c r="E313" s="1" t="n">
        <v>46218</v>
      </c>
      <c r="F313" t="inlineStr">
        <is>
          <t>VÄSTRA GÖTALANDS LÄN</t>
        </is>
      </c>
      <c r="G313" t="inlineStr">
        <is>
          <t>BENGTSFORS</t>
        </is>
      </c>
      <c r="I313" t="n">
        <v>1.3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s="2" t="inlineStr"/>
    </row>
    <row r="314" ht="15" customHeight="1">
      <c r="A314" t="inlineStr">
        <is>
          <t>A 48690-2025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45936</v>
      </c>
      <c r="E314" s="1" t="n">
        <v>46218</v>
      </c>
      <c r="F314" t="inlineStr">
        <is>
          <t>VÄSTRA GÖTALANDS LÄN</t>
        </is>
      </c>
      <c r="G314" t="inlineStr">
        <is>
          <t>BENGTSFORS</t>
        </is>
      </c>
      <c r="I314" t="n">
        <v>2.9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s="2" t="inlineStr"/>
    </row>
    <row r="315" ht="15" customHeight="1">
      <c r="A315" t="inlineStr">
        <is>
          <t>A 27832-2023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45098</v>
      </c>
      <c r="E315" s="1" t="n">
        <v>46218</v>
      </c>
      <c r="F315" t="inlineStr">
        <is>
          <t>VÄSTRA GÖTALANDS LÄN</t>
        </is>
      </c>
      <c r="G315" t="inlineStr">
        <is>
          <t>BENGTSFORS</t>
        </is>
      </c>
      <c r="I315" t="n">
        <v>3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s="2" t="inlineStr"/>
    </row>
    <row r="316" ht="15" customHeight="1">
      <c r="A316" t="inlineStr">
        <is>
          <t>A 27835-2023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45098</v>
      </c>
      <c r="E316" s="1" t="n">
        <v>46218</v>
      </c>
      <c r="F316" t="inlineStr">
        <is>
          <t>VÄSTRA GÖTALANDS LÄN</t>
        </is>
      </c>
      <c r="G316" t="inlineStr">
        <is>
          <t>BENGTSFORS</t>
        </is>
      </c>
      <c r="I316" t="n">
        <v>0.6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s="2" t="inlineStr"/>
    </row>
    <row r="317" ht="15" customHeight="1">
      <c r="A317" t="inlineStr">
        <is>
          <t>A 48752-2025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45936</v>
      </c>
      <c r="E317" s="1" t="n">
        <v>46218</v>
      </c>
      <c r="F317" t="inlineStr">
        <is>
          <t>VÄSTRA GÖTALANDS LÄN</t>
        </is>
      </c>
      <c r="G317" t="inlineStr">
        <is>
          <t>BENGTSFORS</t>
        </is>
      </c>
      <c r="I317" t="n">
        <v>5.2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s="2" t="inlineStr"/>
    </row>
    <row r="318" ht="15" customHeight="1">
      <c r="A318" t="inlineStr">
        <is>
          <t>A 12132-2023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44998</v>
      </c>
      <c r="E318" s="1" t="n">
        <v>46218</v>
      </c>
      <c r="F318" t="inlineStr">
        <is>
          <t>VÄSTRA GÖTALANDS LÄN</t>
        </is>
      </c>
      <c r="G318" t="inlineStr">
        <is>
          <t>BENGTSFORS</t>
        </is>
      </c>
      <c r="I318" t="n">
        <v>6.8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s="2" t="inlineStr"/>
    </row>
    <row r="319" ht="15" customHeight="1">
      <c r="A319" t="inlineStr">
        <is>
          <t>A 49020-2025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45937</v>
      </c>
      <c r="E319" s="1" t="n">
        <v>46218</v>
      </c>
      <c r="F319" t="inlineStr">
        <is>
          <t>VÄSTRA GÖTALANDS LÄN</t>
        </is>
      </c>
      <c r="G319" t="inlineStr">
        <is>
          <t>BENGTSFORS</t>
        </is>
      </c>
      <c r="I319" t="n">
        <v>2.2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s="2" t="inlineStr"/>
    </row>
    <row r="320" ht="15" customHeight="1">
      <c r="A320" t="inlineStr">
        <is>
          <t>A 44816-2024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45574</v>
      </c>
      <c r="E320" s="1" t="n">
        <v>46218</v>
      </c>
      <c r="F320" t="inlineStr">
        <is>
          <t>VÄSTRA GÖTALANDS LÄN</t>
        </is>
      </c>
      <c r="G320" t="inlineStr">
        <is>
          <t>BENGTSFORS</t>
        </is>
      </c>
      <c r="I320" t="n">
        <v>0.7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s="2" t="inlineStr"/>
    </row>
    <row r="321" ht="15" customHeight="1">
      <c r="A321" t="inlineStr">
        <is>
          <t>A 2522-2023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44943</v>
      </c>
      <c r="E321" s="1" t="n">
        <v>46218</v>
      </c>
      <c r="F321" t="inlineStr">
        <is>
          <t>VÄSTRA GÖTALANDS LÄN</t>
        </is>
      </c>
      <c r="G321" t="inlineStr">
        <is>
          <t>BENGTSFORS</t>
        </is>
      </c>
      <c r="I321" t="n">
        <v>15.6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s="2" t="inlineStr"/>
    </row>
    <row r="322" ht="15" customHeight="1">
      <c r="A322" t="inlineStr">
        <is>
          <t>A 49427-2022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44861</v>
      </c>
      <c r="E322" s="1" t="n">
        <v>46218</v>
      </c>
      <c r="F322" t="inlineStr">
        <is>
          <t>VÄSTRA GÖTALANDS LÄN</t>
        </is>
      </c>
      <c r="G322" t="inlineStr">
        <is>
          <t>BENGTSFORS</t>
        </is>
      </c>
      <c r="I322" t="n">
        <v>2.6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s="2" t="inlineStr"/>
    </row>
    <row r="323" ht="15" customHeight="1">
      <c r="A323" t="inlineStr">
        <is>
          <t>A 15080-2024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45399</v>
      </c>
      <c r="E323" s="1" t="n">
        <v>46218</v>
      </c>
      <c r="F323" t="inlineStr">
        <is>
          <t>VÄSTRA GÖTALANDS LÄN</t>
        </is>
      </c>
      <c r="G323" t="inlineStr">
        <is>
          <t>BENGTSFORS</t>
        </is>
      </c>
      <c r="I323" t="n">
        <v>0.5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s="2" t="inlineStr"/>
    </row>
    <row r="324" ht="15" customHeight="1">
      <c r="A324" t="inlineStr">
        <is>
          <t>A 16021-2024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45405</v>
      </c>
      <c r="E324" s="1" t="n">
        <v>46218</v>
      </c>
      <c r="F324" t="inlineStr">
        <is>
          <t>VÄSTRA GÖTALANDS LÄN</t>
        </is>
      </c>
      <c r="G324" t="inlineStr">
        <is>
          <t>BENGTSFORS</t>
        </is>
      </c>
      <c r="I324" t="n">
        <v>1.1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s="2" t="inlineStr"/>
    </row>
    <row r="325" ht="15" customHeight="1">
      <c r="A325" t="inlineStr">
        <is>
          <t>A 2578-2024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45313</v>
      </c>
      <c r="E325" s="1" t="n">
        <v>46218</v>
      </c>
      <c r="F325" t="inlineStr">
        <is>
          <t>VÄSTRA GÖTALANDS LÄN</t>
        </is>
      </c>
      <c r="G325" t="inlineStr">
        <is>
          <t>BENGTSFORS</t>
        </is>
      </c>
      <c r="I325" t="n">
        <v>0.6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s="2" t="inlineStr"/>
    </row>
    <row r="326" ht="15" customHeight="1">
      <c r="A326" t="inlineStr">
        <is>
          <t>A 16303-2024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45407</v>
      </c>
      <c r="E326" s="1" t="n">
        <v>46218</v>
      </c>
      <c r="F326" t="inlineStr">
        <is>
          <t>VÄSTRA GÖTALANDS LÄN</t>
        </is>
      </c>
      <c r="G326" t="inlineStr">
        <is>
          <t>BENGTSFORS</t>
        </is>
      </c>
      <c r="I326" t="n">
        <v>3.6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s="2" t="inlineStr"/>
    </row>
    <row r="327" ht="15" customHeight="1">
      <c r="A327" t="inlineStr">
        <is>
          <t>A 12257-2022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44637</v>
      </c>
      <c r="E327" s="1" t="n">
        <v>46218</v>
      </c>
      <c r="F327" t="inlineStr">
        <is>
          <t>VÄSTRA GÖTALANDS LÄN</t>
        </is>
      </c>
      <c r="G327" t="inlineStr">
        <is>
          <t>BENGTSFORS</t>
        </is>
      </c>
      <c r="I327" t="n">
        <v>1.2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s="2" t="inlineStr"/>
    </row>
    <row r="328" ht="15" customHeight="1">
      <c r="A328" t="inlineStr">
        <is>
          <t>A 25639-2023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45089</v>
      </c>
      <c r="E328" s="1" t="n">
        <v>46218</v>
      </c>
      <c r="F328" t="inlineStr">
        <is>
          <t>VÄSTRA GÖTALANDS LÄN</t>
        </is>
      </c>
      <c r="G328" t="inlineStr">
        <is>
          <t>BENGTSFORS</t>
        </is>
      </c>
      <c r="I328" t="n">
        <v>2.8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s="2" t="inlineStr"/>
    </row>
    <row r="329" ht="15" customHeight="1">
      <c r="A329" t="inlineStr">
        <is>
          <t>A 49399-2025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45938</v>
      </c>
      <c r="E329" s="1" t="n">
        <v>46218</v>
      </c>
      <c r="F329" t="inlineStr">
        <is>
          <t>VÄSTRA GÖTALANDS LÄN</t>
        </is>
      </c>
      <c r="G329" t="inlineStr">
        <is>
          <t>BENGTSFORS</t>
        </is>
      </c>
      <c r="I329" t="n">
        <v>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s="2" t="inlineStr"/>
    </row>
    <row r="330" ht="15" customHeight="1">
      <c r="A330" t="inlineStr">
        <is>
          <t>A 49886-2025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45940</v>
      </c>
      <c r="E330" s="1" t="n">
        <v>46218</v>
      </c>
      <c r="F330" t="inlineStr">
        <is>
          <t>VÄSTRA GÖTALANDS LÄN</t>
        </is>
      </c>
      <c r="G330" t="inlineStr">
        <is>
          <t>BENGTSFORS</t>
        </is>
      </c>
      <c r="I330" t="n">
        <v>4.7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s="2" t="inlineStr"/>
    </row>
    <row r="331" ht="15" customHeight="1">
      <c r="A331" t="inlineStr">
        <is>
          <t>A 49851-2025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45940</v>
      </c>
      <c r="E331" s="1" t="n">
        <v>46218</v>
      </c>
      <c r="F331" t="inlineStr">
        <is>
          <t>VÄSTRA GÖTALANDS LÄN</t>
        </is>
      </c>
      <c r="G331" t="inlineStr">
        <is>
          <t>BENGTSFORS</t>
        </is>
      </c>
      <c r="H331" t="inlineStr">
        <is>
          <t>Övriga Aktiebolag</t>
        </is>
      </c>
      <c r="I331" t="n">
        <v>10.5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s="2" t="inlineStr"/>
    </row>
    <row r="332" ht="15" customHeight="1">
      <c r="A332" t="inlineStr">
        <is>
          <t>A 49853-2025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45940</v>
      </c>
      <c r="E332" s="1" t="n">
        <v>46218</v>
      </c>
      <c r="F332" t="inlineStr">
        <is>
          <t>VÄSTRA GÖTALANDS LÄN</t>
        </is>
      </c>
      <c r="G332" t="inlineStr">
        <is>
          <t>BENGTSFORS</t>
        </is>
      </c>
      <c r="H332" t="inlineStr">
        <is>
          <t>Övriga Aktiebolag</t>
        </is>
      </c>
      <c r="I332" t="n">
        <v>1.4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s="2" t="inlineStr"/>
    </row>
    <row r="333" ht="15" customHeight="1">
      <c r="A333" t="inlineStr">
        <is>
          <t>A 50175-2025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45943</v>
      </c>
      <c r="E333" s="1" t="n">
        <v>46218</v>
      </c>
      <c r="F333" t="inlineStr">
        <is>
          <t>VÄSTRA GÖTALANDS LÄN</t>
        </is>
      </c>
      <c r="G333" t="inlineStr">
        <is>
          <t>BENGTSFORS</t>
        </is>
      </c>
      <c r="I333" t="n">
        <v>5.8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s="2" t="inlineStr"/>
    </row>
    <row r="334" ht="15" customHeight="1">
      <c r="A334" t="inlineStr">
        <is>
          <t>A 49889-2025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45940</v>
      </c>
      <c r="E334" s="1" t="n">
        <v>46218</v>
      </c>
      <c r="F334" t="inlineStr">
        <is>
          <t>VÄSTRA GÖTALANDS LÄN</t>
        </is>
      </c>
      <c r="G334" t="inlineStr">
        <is>
          <t>BENGTSFORS</t>
        </is>
      </c>
      <c r="I334" t="n">
        <v>1.1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s="2" t="inlineStr"/>
    </row>
    <row r="335" ht="15" customHeight="1">
      <c r="A335" t="inlineStr">
        <is>
          <t>A 50047-2025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45943</v>
      </c>
      <c r="E335" s="1" t="n">
        <v>46218</v>
      </c>
      <c r="F335" t="inlineStr">
        <is>
          <t>VÄSTRA GÖTALANDS LÄN</t>
        </is>
      </c>
      <c r="G335" t="inlineStr">
        <is>
          <t>BENGTSFORS</t>
        </is>
      </c>
      <c r="I335" t="n">
        <v>3.8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s="2" t="inlineStr"/>
    </row>
    <row r="336" ht="15" customHeight="1">
      <c r="A336" t="inlineStr">
        <is>
          <t>A 60967-2024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45645</v>
      </c>
      <c r="E336" s="1" t="n">
        <v>46218</v>
      </c>
      <c r="F336" t="inlineStr">
        <is>
          <t>VÄSTRA GÖTALANDS LÄN</t>
        </is>
      </c>
      <c r="G336" t="inlineStr">
        <is>
          <t>BENGTSFORS</t>
        </is>
      </c>
      <c r="I336" t="n">
        <v>0.1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s="2" t="inlineStr"/>
    </row>
    <row r="337" ht="15" customHeight="1">
      <c r="A337" t="inlineStr">
        <is>
          <t>A 41784-2022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44827</v>
      </c>
      <c r="E337" s="1" t="n">
        <v>46218</v>
      </c>
      <c r="F337" t="inlineStr">
        <is>
          <t>VÄSTRA GÖTALANDS LÄN</t>
        </is>
      </c>
      <c r="G337" t="inlineStr">
        <is>
          <t>BENGTSFORS</t>
        </is>
      </c>
      <c r="I337" t="n">
        <v>2.9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s="2" t="inlineStr"/>
    </row>
    <row r="338" ht="15" customHeight="1">
      <c r="A338" t="inlineStr">
        <is>
          <t>A 42532-2022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44831</v>
      </c>
      <c r="E338" s="1" t="n">
        <v>46218</v>
      </c>
      <c r="F338" t="inlineStr">
        <is>
          <t>VÄSTRA GÖTALANDS LÄN</t>
        </is>
      </c>
      <c r="G338" t="inlineStr">
        <is>
          <t>BENGTSFORS</t>
        </is>
      </c>
      <c r="I338" t="n">
        <v>2.4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s="2" t="inlineStr"/>
    </row>
    <row r="339" ht="15" customHeight="1">
      <c r="A339" t="inlineStr">
        <is>
          <t>A 50042-2025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45943</v>
      </c>
      <c r="E339" s="1" t="n">
        <v>46218</v>
      </c>
      <c r="F339" t="inlineStr">
        <is>
          <t>VÄSTRA GÖTALANDS LÄN</t>
        </is>
      </c>
      <c r="G339" t="inlineStr">
        <is>
          <t>BENGTSFORS</t>
        </is>
      </c>
      <c r="I339" t="n">
        <v>0.6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s="2" t="inlineStr"/>
    </row>
    <row r="340" ht="15" customHeight="1">
      <c r="A340" t="inlineStr">
        <is>
          <t>A 50510-2025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45945</v>
      </c>
      <c r="E340" s="1" t="n">
        <v>46218</v>
      </c>
      <c r="F340" t="inlineStr">
        <is>
          <t>VÄSTRA GÖTALANDS LÄN</t>
        </is>
      </c>
      <c r="G340" t="inlineStr">
        <is>
          <t>BENGTSFORS</t>
        </is>
      </c>
      <c r="I340" t="n">
        <v>2.2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s="2" t="inlineStr"/>
    </row>
    <row r="341" ht="15" customHeight="1">
      <c r="A341" t="inlineStr">
        <is>
          <t>A 50517-2025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45945</v>
      </c>
      <c r="E341" s="1" t="n">
        <v>46218</v>
      </c>
      <c r="F341" t="inlineStr">
        <is>
          <t>VÄSTRA GÖTALANDS LÄN</t>
        </is>
      </c>
      <c r="G341" t="inlineStr">
        <is>
          <t>BENGTSFORS</t>
        </is>
      </c>
      <c r="I341" t="n">
        <v>3.6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s="2" t="inlineStr"/>
    </row>
    <row r="342" ht="15" customHeight="1">
      <c r="A342" t="inlineStr">
        <is>
          <t>A 50487-2025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45945</v>
      </c>
      <c r="E342" s="1" t="n">
        <v>46218</v>
      </c>
      <c r="F342" t="inlineStr">
        <is>
          <t>VÄSTRA GÖTALANDS LÄN</t>
        </is>
      </c>
      <c r="G342" t="inlineStr">
        <is>
          <t>BENGTSFORS</t>
        </is>
      </c>
      <c r="I342" t="n">
        <v>1.1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s="2" t="inlineStr"/>
    </row>
    <row r="343" ht="15" customHeight="1">
      <c r="A343" t="inlineStr">
        <is>
          <t>A 44982-2024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45575</v>
      </c>
      <c r="E343" s="1" t="n">
        <v>46218</v>
      </c>
      <c r="F343" t="inlineStr">
        <is>
          <t>VÄSTRA GÖTALANDS LÄN</t>
        </is>
      </c>
      <c r="G343" t="inlineStr">
        <is>
          <t>BENGTSFORS</t>
        </is>
      </c>
      <c r="I343" t="n">
        <v>0.5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s="2" t="inlineStr"/>
    </row>
    <row r="344" ht="15" customHeight="1">
      <c r="A344" t="inlineStr">
        <is>
          <t>A 11739-2025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45727</v>
      </c>
      <c r="E344" s="1" t="n">
        <v>46218</v>
      </c>
      <c r="F344" t="inlineStr">
        <is>
          <t>VÄSTRA GÖTALANDS LÄN</t>
        </is>
      </c>
      <c r="G344" t="inlineStr">
        <is>
          <t>BENGTSFORS</t>
        </is>
      </c>
      <c r="I344" t="n">
        <v>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s="2" t="inlineStr"/>
    </row>
    <row r="345" ht="15" customHeight="1">
      <c r="A345" t="inlineStr">
        <is>
          <t>A 51003-2025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45947</v>
      </c>
      <c r="E345" s="1" t="n">
        <v>46218</v>
      </c>
      <c r="F345" t="inlineStr">
        <is>
          <t>VÄSTRA GÖTALANDS LÄN</t>
        </is>
      </c>
      <c r="G345" t="inlineStr">
        <is>
          <t>BENGTSFORS</t>
        </is>
      </c>
      <c r="I345" t="n">
        <v>2.9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s="2" t="inlineStr"/>
    </row>
    <row r="346" ht="15" customHeight="1">
      <c r="A346" t="inlineStr">
        <is>
          <t>A 5690-2022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44596</v>
      </c>
      <c r="E346" s="1" t="n">
        <v>46218</v>
      </c>
      <c r="F346" t="inlineStr">
        <is>
          <t>VÄSTRA GÖTALANDS LÄN</t>
        </is>
      </c>
      <c r="G346" t="inlineStr">
        <is>
          <t>BENGTSFORS</t>
        </is>
      </c>
      <c r="I346" t="n">
        <v>2.1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s="2" t="inlineStr"/>
    </row>
    <row r="347" ht="15" customHeight="1">
      <c r="A347" t="inlineStr">
        <is>
          <t>A 1046-2023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44929</v>
      </c>
      <c r="E347" s="1" t="n">
        <v>46218</v>
      </c>
      <c r="F347" t="inlineStr">
        <is>
          <t>VÄSTRA GÖTALANDS LÄN</t>
        </is>
      </c>
      <c r="G347" t="inlineStr">
        <is>
          <t>BENGTSFORS</t>
        </is>
      </c>
      <c r="H347" t="inlineStr">
        <is>
          <t>Kyrkan</t>
        </is>
      </c>
      <c r="I347" t="n">
        <v>7.6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s="2" t="inlineStr"/>
    </row>
    <row r="348" ht="15" customHeight="1">
      <c r="A348" t="inlineStr">
        <is>
          <t>A 56978-2022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44894</v>
      </c>
      <c r="E348" s="1" t="n">
        <v>46218</v>
      </c>
      <c r="F348" t="inlineStr">
        <is>
          <t>VÄSTRA GÖTALANDS LÄN</t>
        </is>
      </c>
      <c r="G348" t="inlineStr">
        <is>
          <t>BENGTSFORS</t>
        </is>
      </c>
      <c r="I348" t="n">
        <v>1.7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s="2" t="inlineStr"/>
    </row>
    <row r="349" ht="15" customHeight="1">
      <c r="A349" t="inlineStr">
        <is>
          <t>A 16936-2022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44676</v>
      </c>
      <c r="E349" s="1" t="n">
        <v>46218</v>
      </c>
      <c r="F349" t="inlineStr">
        <is>
          <t>VÄSTRA GÖTALANDS LÄN</t>
        </is>
      </c>
      <c r="G349" t="inlineStr">
        <is>
          <t>BENGTSFORS</t>
        </is>
      </c>
      <c r="I349" t="n">
        <v>4.1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s="2" t="inlineStr"/>
    </row>
    <row r="350" ht="15" customHeight="1">
      <c r="A350" t="inlineStr">
        <is>
          <t>A 59979-2023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45257</v>
      </c>
      <c r="E350" s="1" t="n">
        <v>46218</v>
      </c>
      <c r="F350" t="inlineStr">
        <is>
          <t>VÄSTRA GÖTALANDS LÄN</t>
        </is>
      </c>
      <c r="G350" t="inlineStr">
        <is>
          <t>BENGTSFORS</t>
        </is>
      </c>
      <c r="I350" t="n">
        <v>0.5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s="2" t="inlineStr"/>
    </row>
    <row r="351" ht="15" customHeight="1">
      <c r="A351" t="inlineStr">
        <is>
          <t>A 5581-2025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45693</v>
      </c>
      <c r="E351" s="1" t="n">
        <v>46218</v>
      </c>
      <c r="F351" t="inlineStr">
        <is>
          <t>VÄSTRA GÖTALANDS LÄN</t>
        </is>
      </c>
      <c r="G351" t="inlineStr">
        <is>
          <t>BENGTSFORS</t>
        </is>
      </c>
      <c r="I351" t="n">
        <v>1.5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s="2" t="inlineStr"/>
    </row>
    <row r="352" ht="15" customHeight="1">
      <c r="A352" t="inlineStr">
        <is>
          <t>A 20125-2023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45055</v>
      </c>
      <c r="E352" s="1" t="n">
        <v>46218</v>
      </c>
      <c r="F352" t="inlineStr">
        <is>
          <t>VÄSTRA GÖTALANDS LÄN</t>
        </is>
      </c>
      <c r="G352" t="inlineStr">
        <is>
          <t>BENGTSFORS</t>
        </is>
      </c>
      <c r="I352" t="n">
        <v>1.1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s="2" t="inlineStr"/>
    </row>
    <row r="353" ht="15" customHeight="1">
      <c r="A353" t="inlineStr">
        <is>
          <t>A 46767-2023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45195</v>
      </c>
      <c r="E353" s="1" t="n">
        <v>46218</v>
      </c>
      <c r="F353" t="inlineStr">
        <is>
          <t>VÄSTRA GÖTALANDS LÄN</t>
        </is>
      </c>
      <c r="G353" t="inlineStr">
        <is>
          <t>BENGTSFORS</t>
        </is>
      </c>
      <c r="I353" t="n">
        <v>1.8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s="2" t="inlineStr"/>
    </row>
    <row r="354" ht="15" customHeight="1">
      <c r="A354" t="inlineStr">
        <is>
          <t>A 9739-2024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45362</v>
      </c>
      <c r="E354" s="1" t="n">
        <v>46218</v>
      </c>
      <c r="F354" t="inlineStr">
        <is>
          <t>VÄSTRA GÖTALANDS LÄN</t>
        </is>
      </c>
      <c r="G354" t="inlineStr">
        <is>
          <t>BENGTSFORS</t>
        </is>
      </c>
      <c r="I354" t="n">
        <v>1.6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s="2" t="inlineStr"/>
    </row>
    <row r="355" ht="15" customHeight="1">
      <c r="A355" t="inlineStr">
        <is>
          <t>A 46742-2023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45198</v>
      </c>
      <c r="E355" s="1" t="n">
        <v>46218</v>
      </c>
      <c r="F355" t="inlineStr">
        <is>
          <t>VÄSTRA GÖTALANDS LÄN</t>
        </is>
      </c>
      <c r="G355" t="inlineStr">
        <is>
          <t>BENGTSFORS</t>
        </is>
      </c>
      <c r="I355" t="n">
        <v>2.6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s="2" t="inlineStr"/>
    </row>
    <row r="356" ht="15" customHeight="1">
      <c r="A356" t="inlineStr">
        <is>
          <t>A 11526-2022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44631</v>
      </c>
      <c r="E356" s="1" t="n">
        <v>46218</v>
      </c>
      <c r="F356" t="inlineStr">
        <is>
          <t>VÄSTRA GÖTALANDS LÄN</t>
        </is>
      </c>
      <c r="G356" t="inlineStr">
        <is>
          <t>BENGTSFORS</t>
        </is>
      </c>
      <c r="I356" t="n">
        <v>6.5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s="2" t="inlineStr"/>
    </row>
    <row r="357" ht="15" customHeight="1">
      <c r="A357" t="inlineStr">
        <is>
          <t>A 6617-2023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44966</v>
      </c>
      <c r="E357" s="1" t="n">
        <v>46218</v>
      </c>
      <c r="F357" t="inlineStr">
        <is>
          <t>VÄSTRA GÖTALANDS LÄN</t>
        </is>
      </c>
      <c r="G357" t="inlineStr">
        <is>
          <t>BENGTSFORS</t>
        </is>
      </c>
      <c r="I357" t="n">
        <v>1.8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s="2" t="inlineStr"/>
    </row>
    <row r="358" ht="15" customHeight="1">
      <c r="A358" t="inlineStr">
        <is>
          <t>A 12878-2024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45385</v>
      </c>
      <c r="E358" s="1" t="n">
        <v>46218</v>
      </c>
      <c r="F358" t="inlineStr">
        <is>
          <t>VÄSTRA GÖTALANDS LÄN</t>
        </is>
      </c>
      <c r="G358" t="inlineStr">
        <is>
          <t>BENGTSFORS</t>
        </is>
      </c>
      <c r="H358" t="inlineStr">
        <is>
          <t>Övriga Aktiebolag</t>
        </is>
      </c>
      <c r="I358" t="n">
        <v>2.1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s="2" t="inlineStr"/>
    </row>
    <row r="359" ht="15" customHeight="1">
      <c r="A359" t="inlineStr">
        <is>
          <t>A 51741-2025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45951</v>
      </c>
      <c r="E359" s="1" t="n">
        <v>46218</v>
      </c>
      <c r="F359" t="inlineStr">
        <is>
          <t>VÄSTRA GÖTALANDS LÄN</t>
        </is>
      </c>
      <c r="G359" t="inlineStr">
        <is>
          <t>BENGTSFORS</t>
        </is>
      </c>
      <c r="I359" t="n">
        <v>1.8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s="2" t="inlineStr"/>
    </row>
    <row r="360" ht="15" customHeight="1">
      <c r="A360" t="inlineStr">
        <is>
          <t>A 43696-2021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44433</v>
      </c>
      <c r="E360" s="1" t="n">
        <v>46218</v>
      </c>
      <c r="F360" t="inlineStr">
        <is>
          <t>VÄSTRA GÖTALANDS LÄN</t>
        </is>
      </c>
      <c r="G360" t="inlineStr">
        <is>
          <t>BENGTSFORS</t>
        </is>
      </c>
      <c r="I360" t="n">
        <v>15.5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s="2" t="inlineStr"/>
    </row>
    <row r="361" ht="15" customHeight="1">
      <c r="A361" t="inlineStr">
        <is>
          <t>A 51743-2025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45951</v>
      </c>
      <c r="E361" s="1" t="n">
        <v>46218</v>
      </c>
      <c r="F361" t="inlineStr">
        <is>
          <t>VÄSTRA GÖTALANDS LÄN</t>
        </is>
      </c>
      <c r="G361" t="inlineStr">
        <is>
          <t>BENGTSFORS</t>
        </is>
      </c>
      <c r="I361" t="n">
        <v>2.9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s="2" t="inlineStr"/>
    </row>
    <row r="362" ht="15" customHeight="1">
      <c r="A362" t="inlineStr">
        <is>
          <t>A 25887-2024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45467</v>
      </c>
      <c r="E362" s="1" t="n">
        <v>46218</v>
      </c>
      <c r="F362" t="inlineStr">
        <is>
          <t>VÄSTRA GÖTALANDS LÄN</t>
        </is>
      </c>
      <c r="G362" t="inlineStr">
        <is>
          <t>BENGTSFORS</t>
        </is>
      </c>
      <c r="I362" t="n">
        <v>1.7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s="2" t="inlineStr"/>
    </row>
    <row r="363" ht="15" customHeight="1">
      <c r="A363" t="inlineStr">
        <is>
          <t>A 6255-2025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45698</v>
      </c>
      <c r="E363" s="1" t="n">
        <v>46218</v>
      </c>
      <c r="F363" t="inlineStr">
        <is>
          <t>VÄSTRA GÖTALANDS LÄN</t>
        </is>
      </c>
      <c r="G363" t="inlineStr">
        <is>
          <t>BENGTSFORS</t>
        </is>
      </c>
      <c r="I363" t="n">
        <v>7.1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s="2" t="inlineStr"/>
    </row>
    <row r="364" ht="15" customHeight="1">
      <c r="A364" t="inlineStr">
        <is>
          <t>A 2178-2025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45673</v>
      </c>
      <c r="E364" s="1" t="n">
        <v>46218</v>
      </c>
      <c r="F364" t="inlineStr">
        <is>
          <t>VÄSTRA GÖTALANDS LÄN</t>
        </is>
      </c>
      <c r="G364" t="inlineStr">
        <is>
          <t>BENGTSFORS</t>
        </is>
      </c>
      <c r="I364" t="n">
        <v>1.1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s="2" t="inlineStr"/>
    </row>
    <row r="365" ht="15" customHeight="1">
      <c r="A365" t="inlineStr">
        <is>
          <t>A 4404-2023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44956</v>
      </c>
      <c r="E365" s="1" t="n">
        <v>46218</v>
      </c>
      <c r="F365" t="inlineStr">
        <is>
          <t>VÄSTRA GÖTALANDS LÄN</t>
        </is>
      </c>
      <c r="G365" t="inlineStr">
        <is>
          <t>BENGTSFORS</t>
        </is>
      </c>
      <c r="I365" t="n">
        <v>2.1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s="2" t="inlineStr"/>
    </row>
    <row r="366" ht="15" customHeight="1">
      <c r="A366" t="inlineStr">
        <is>
          <t>A 1025-2023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44929</v>
      </c>
      <c r="E366" s="1" t="n">
        <v>46218</v>
      </c>
      <c r="F366" t="inlineStr">
        <is>
          <t>VÄSTRA GÖTALANDS LÄN</t>
        </is>
      </c>
      <c r="G366" t="inlineStr">
        <is>
          <t>BENGTSFORS</t>
        </is>
      </c>
      <c r="H366" t="inlineStr">
        <is>
          <t>Kyrkan</t>
        </is>
      </c>
      <c r="I366" t="n">
        <v>2.4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s="2" t="inlineStr"/>
    </row>
    <row r="367" ht="15" customHeight="1">
      <c r="A367" t="inlineStr">
        <is>
          <t>A 32189-2024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45511</v>
      </c>
      <c r="E367" s="1" t="n">
        <v>46218</v>
      </c>
      <c r="F367" t="inlineStr">
        <is>
          <t>VÄSTRA GÖTALANDS LÄN</t>
        </is>
      </c>
      <c r="G367" t="inlineStr">
        <is>
          <t>BENGTSFORS</t>
        </is>
      </c>
      <c r="H367" t="inlineStr">
        <is>
          <t>Kommuner</t>
        </is>
      </c>
      <c r="I367" t="n">
        <v>1.2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s="2" t="inlineStr"/>
    </row>
    <row r="368" ht="15" customHeight="1">
      <c r="A368" t="inlineStr">
        <is>
          <t>A 21640-2025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45783</v>
      </c>
      <c r="E368" s="1" t="n">
        <v>46218</v>
      </c>
      <c r="F368" t="inlineStr">
        <is>
          <t>VÄSTRA GÖTALANDS LÄN</t>
        </is>
      </c>
      <c r="G368" t="inlineStr">
        <is>
          <t>BENGTSFORS</t>
        </is>
      </c>
      <c r="I368" t="n">
        <v>2.4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s="2" t="inlineStr"/>
    </row>
    <row r="369" ht="15" customHeight="1">
      <c r="A369" t="inlineStr">
        <is>
          <t>A 10970-2024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45370</v>
      </c>
      <c r="E369" s="1" t="n">
        <v>46218</v>
      </c>
      <c r="F369" t="inlineStr">
        <is>
          <t>VÄSTRA GÖTALANDS LÄN</t>
        </is>
      </c>
      <c r="G369" t="inlineStr">
        <is>
          <t>BENGTSFORS</t>
        </is>
      </c>
      <c r="I369" t="n">
        <v>3.5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s="2" t="inlineStr"/>
    </row>
    <row r="370" ht="15" customHeight="1">
      <c r="A370" t="inlineStr">
        <is>
          <t>A 21367-2025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45782</v>
      </c>
      <c r="E370" s="1" t="n">
        <v>46218</v>
      </c>
      <c r="F370" t="inlineStr">
        <is>
          <t>VÄSTRA GÖTALANDS LÄN</t>
        </is>
      </c>
      <c r="G370" t="inlineStr">
        <is>
          <t>BENGTSFORS</t>
        </is>
      </c>
      <c r="I370" t="n">
        <v>0.8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s="2" t="inlineStr"/>
    </row>
    <row r="371" ht="15" customHeight="1">
      <c r="A371" t="inlineStr">
        <is>
          <t>A 59186-2023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45251</v>
      </c>
      <c r="E371" s="1" t="n">
        <v>46218</v>
      </c>
      <c r="F371" t="inlineStr">
        <is>
          <t>VÄSTRA GÖTALANDS LÄN</t>
        </is>
      </c>
      <c r="G371" t="inlineStr">
        <is>
          <t>BENGTSFORS</t>
        </is>
      </c>
      <c r="H371" t="inlineStr">
        <is>
          <t>Kyrkan</t>
        </is>
      </c>
      <c r="I371" t="n">
        <v>7.9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s="2" t="inlineStr"/>
    </row>
    <row r="372" ht="15" customHeight="1">
      <c r="A372" t="inlineStr">
        <is>
          <t>A 28498-2023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45103</v>
      </c>
      <c r="E372" s="1" t="n">
        <v>46218</v>
      </c>
      <c r="F372" t="inlineStr">
        <is>
          <t>VÄSTRA GÖTALANDS LÄN</t>
        </is>
      </c>
      <c r="G372" t="inlineStr">
        <is>
          <t>BENGTSFORS</t>
        </is>
      </c>
      <c r="I372" t="n">
        <v>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s="2" t="inlineStr"/>
    </row>
    <row r="373" ht="15" customHeight="1">
      <c r="A373" t="inlineStr">
        <is>
          <t>A 8379-2023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44977</v>
      </c>
      <c r="E373" s="1" t="n">
        <v>46218</v>
      </c>
      <c r="F373" t="inlineStr">
        <is>
          <t>VÄSTRA GÖTALANDS LÄN</t>
        </is>
      </c>
      <c r="G373" t="inlineStr">
        <is>
          <t>BENGTSFORS</t>
        </is>
      </c>
      <c r="I373" t="n">
        <v>1.4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s="2" t="inlineStr"/>
    </row>
    <row r="374" ht="15" customHeight="1">
      <c r="A374" t="inlineStr">
        <is>
          <t>A 21644-2025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45783</v>
      </c>
      <c r="E374" s="1" t="n">
        <v>46218</v>
      </c>
      <c r="F374" t="inlineStr">
        <is>
          <t>VÄSTRA GÖTALANDS LÄN</t>
        </is>
      </c>
      <c r="G374" t="inlineStr">
        <is>
          <t>BENGTSFORS</t>
        </is>
      </c>
      <c r="I374" t="n">
        <v>1.2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s="2" t="inlineStr"/>
    </row>
    <row r="375" ht="15" customHeight="1">
      <c r="A375" t="inlineStr">
        <is>
          <t>A 1122-2024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45302</v>
      </c>
      <c r="E375" s="1" t="n">
        <v>46218</v>
      </c>
      <c r="F375" t="inlineStr">
        <is>
          <t>VÄSTRA GÖTALANDS LÄN</t>
        </is>
      </c>
      <c r="G375" t="inlineStr">
        <is>
          <t>BENGTSFORS</t>
        </is>
      </c>
      <c r="I375" t="n">
        <v>1.1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s="2" t="inlineStr"/>
    </row>
    <row r="376" ht="15" customHeight="1">
      <c r="A376" t="inlineStr">
        <is>
          <t>A 21641-2025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45783</v>
      </c>
      <c r="E376" s="1" t="n">
        <v>46218</v>
      </c>
      <c r="F376" t="inlineStr">
        <is>
          <t>VÄSTRA GÖTALANDS LÄN</t>
        </is>
      </c>
      <c r="G376" t="inlineStr">
        <is>
          <t>BENGTSFORS</t>
        </is>
      </c>
      <c r="I376" t="n">
        <v>3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s="2" t="inlineStr"/>
    </row>
    <row r="377" ht="15" customHeight="1">
      <c r="A377" t="inlineStr">
        <is>
          <t>A 52962-2025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45957</v>
      </c>
      <c r="E377" s="1" t="n">
        <v>46218</v>
      </c>
      <c r="F377" t="inlineStr">
        <is>
          <t>VÄSTRA GÖTALANDS LÄN</t>
        </is>
      </c>
      <c r="G377" t="inlineStr">
        <is>
          <t>BENGTSFORS</t>
        </is>
      </c>
      <c r="I377" t="n">
        <v>6.1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s="2" t="inlineStr"/>
    </row>
    <row r="378" ht="15" customHeight="1">
      <c r="A378" t="inlineStr">
        <is>
          <t>A 18665-2023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45043</v>
      </c>
      <c r="E378" s="1" t="n">
        <v>46218</v>
      </c>
      <c r="F378" t="inlineStr">
        <is>
          <t>VÄSTRA GÖTALANDS LÄN</t>
        </is>
      </c>
      <c r="G378" t="inlineStr">
        <is>
          <t>BENGTSFORS</t>
        </is>
      </c>
      <c r="I378" t="n">
        <v>21.7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s="2" t="inlineStr"/>
    </row>
    <row r="379" ht="15" customHeight="1">
      <c r="A379" t="inlineStr">
        <is>
          <t>A 22377-2024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45446</v>
      </c>
      <c r="E379" s="1" t="n">
        <v>46218</v>
      </c>
      <c r="F379" t="inlineStr">
        <is>
          <t>VÄSTRA GÖTALANDS LÄN</t>
        </is>
      </c>
      <c r="G379" t="inlineStr">
        <is>
          <t>BENGTSFORS</t>
        </is>
      </c>
      <c r="I379" t="n">
        <v>6.3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s="2" t="inlineStr"/>
    </row>
    <row r="380" ht="15" customHeight="1">
      <c r="A380" t="inlineStr">
        <is>
          <t>A 52952-2025</t>
        </is>
      </c>
      <c r="B380" t="inlineStr">
        <is>
          <t>avverkningsanmälan</t>
        </is>
      </c>
      <c r="C380" t="inlineStr">
        <is>
          <t>Avverkning för annat ändamål</t>
        </is>
      </c>
      <c r="D380" s="1" t="n">
        <v>45957</v>
      </c>
      <c r="E380" s="1" t="n">
        <v>46218</v>
      </c>
      <c r="F380" t="inlineStr">
        <is>
          <t>VÄSTRA GÖTALANDS LÄN</t>
        </is>
      </c>
      <c r="G380" t="inlineStr">
        <is>
          <t>BENGTSFORS</t>
        </is>
      </c>
      <c r="I380" t="n">
        <v>0.6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s="2" t="inlineStr"/>
    </row>
    <row r="381" ht="15" customHeight="1">
      <c r="A381" t="inlineStr">
        <is>
          <t>A 53297-2025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45958</v>
      </c>
      <c r="E381" s="1" t="n">
        <v>46218</v>
      </c>
      <c r="F381" t="inlineStr">
        <is>
          <t>VÄSTRA GÖTALANDS LÄN</t>
        </is>
      </c>
      <c r="G381" t="inlineStr">
        <is>
          <t>BENGTSFORS</t>
        </is>
      </c>
      <c r="I381" t="n">
        <v>0.6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s="2" t="inlineStr"/>
    </row>
    <row r="382" ht="15" customHeight="1">
      <c r="A382" t="inlineStr">
        <is>
          <t>A 41360-2024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45559</v>
      </c>
      <c r="E382" s="1" t="n">
        <v>46218</v>
      </c>
      <c r="F382" t="inlineStr">
        <is>
          <t>VÄSTRA GÖTALANDS LÄN</t>
        </is>
      </c>
      <c r="G382" t="inlineStr">
        <is>
          <t>BENGTSFORS</t>
        </is>
      </c>
      <c r="I382" t="n">
        <v>1.6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s="2" t="inlineStr"/>
    </row>
    <row r="383" ht="15" customHeight="1">
      <c r="A383" t="inlineStr">
        <is>
          <t>A 27552-2023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45097</v>
      </c>
      <c r="E383" s="1" t="n">
        <v>46218</v>
      </c>
      <c r="F383" t="inlineStr">
        <is>
          <t>VÄSTRA GÖTALANDS LÄN</t>
        </is>
      </c>
      <c r="G383" t="inlineStr">
        <is>
          <t>BENGTSFORS</t>
        </is>
      </c>
      <c r="I383" t="n">
        <v>3.7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s="2" t="inlineStr"/>
    </row>
    <row r="384" ht="15" customHeight="1">
      <c r="A384" t="inlineStr">
        <is>
          <t>A 53421-2025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45959</v>
      </c>
      <c r="E384" s="1" t="n">
        <v>46218</v>
      </c>
      <c r="F384" t="inlineStr">
        <is>
          <t>VÄSTRA GÖTALANDS LÄN</t>
        </is>
      </c>
      <c r="G384" t="inlineStr">
        <is>
          <t>BENGTSFORS</t>
        </is>
      </c>
      <c r="I384" t="n">
        <v>3.9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s="2" t="inlineStr"/>
    </row>
    <row r="385" ht="15" customHeight="1">
      <c r="A385" t="inlineStr">
        <is>
          <t>A 53361-2025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45959</v>
      </c>
      <c r="E385" s="1" t="n">
        <v>46218</v>
      </c>
      <c r="F385" t="inlineStr">
        <is>
          <t>VÄSTRA GÖTALANDS LÄN</t>
        </is>
      </c>
      <c r="G385" t="inlineStr">
        <is>
          <t>BENGTSFORS</t>
        </is>
      </c>
      <c r="I385" t="n">
        <v>3.1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s="2" t="inlineStr"/>
    </row>
    <row r="386" ht="15" customHeight="1">
      <c r="A386" t="inlineStr">
        <is>
          <t>A 2563-2024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45313</v>
      </c>
      <c r="E386" s="1" t="n">
        <v>46218</v>
      </c>
      <c r="F386" t="inlineStr">
        <is>
          <t>VÄSTRA GÖTALANDS LÄN</t>
        </is>
      </c>
      <c r="G386" t="inlineStr">
        <is>
          <t>BENGTSFORS</t>
        </is>
      </c>
      <c r="I386" t="n">
        <v>2.4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s="2" t="inlineStr"/>
    </row>
    <row r="387" ht="15" customHeight="1">
      <c r="A387" t="inlineStr">
        <is>
          <t>A 9331-2025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45714</v>
      </c>
      <c r="E387" s="1" t="n">
        <v>46218</v>
      </c>
      <c r="F387" t="inlineStr">
        <is>
          <t>VÄSTRA GÖTALANDS LÄN</t>
        </is>
      </c>
      <c r="G387" t="inlineStr">
        <is>
          <t>BENGTSFORS</t>
        </is>
      </c>
      <c r="I387" t="n">
        <v>6.6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s="2" t="inlineStr"/>
    </row>
    <row r="388" ht="15" customHeight="1">
      <c r="A388" t="inlineStr">
        <is>
          <t>A 2524-2023</t>
        </is>
      </c>
      <c r="B388" t="inlineStr">
        <is>
          <t>avverkningsanmälan</t>
        </is>
      </c>
      <c r="C388" t="inlineStr">
        <is>
          <t>Avverkning för annat ändamål</t>
        </is>
      </c>
      <c r="D388" s="1" t="n">
        <v>44943</v>
      </c>
      <c r="E388" s="1" t="n">
        <v>46218</v>
      </c>
      <c r="F388" t="inlineStr">
        <is>
          <t>VÄSTRA GÖTALANDS LÄN</t>
        </is>
      </c>
      <c r="G388" t="inlineStr">
        <is>
          <t>BENGTSFORS</t>
        </is>
      </c>
      <c r="I388" t="n">
        <v>0.5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s="2" t="inlineStr"/>
    </row>
    <row r="389" ht="15" customHeight="1">
      <c r="A389" t="inlineStr">
        <is>
          <t>A 41022-2024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45558</v>
      </c>
      <c r="E389" s="1" t="n">
        <v>46218</v>
      </c>
      <c r="F389" t="inlineStr">
        <is>
          <t>VÄSTRA GÖTALANDS LÄN</t>
        </is>
      </c>
      <c r="G389" t="inlineStr">
        <is>
          <t>BENGTSFORS</t>
        </is>
      </c>
      <c r="I389" t="n">
        <v>1.5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s="2" t="inlineStr"/>
    </row>
    <row r="390" ht="15" customHeight="1">
      <c r="A390" t="inlineStr">
        <is>
          <t>A 41024-2024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45558</v>
      </c>
      <c r="E390" s="1" t="n">
        <v>46218</v>
      </c>
      <c r="F390" t="inlineStr">
        <is>
          <t>VÄSTRA GÖTALANDS LÄN</t>
        </is>
      </c>
      <c r="G390" t="inlineStr">
        <is>
          <t>BENGTSFORS</t>
        </is>
      </c>
      <c r="I390" t="n">
        <v>1.8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s="2" t="inlineStr"/>
    </row>
    <row r="391" ht="15" customHeight="1">
      <c r="A391" t="inlineStr">
        <is>
          <t>A 22649-2023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45071</v>
      </c>
      <c r="E391" s="1" t="n">
        <v>46218</v>
      </c>
      <c r="F391" t="inlineStr">
        <is>
          <t>VÄSTRA GÖTALANDS LÄN</t>
        </is>
      </c>
      <c r="G391" t="inlineStr">
        <is>
          <t>BENGTSFORS</t>
        </is>
      </c>
      <c r="I391" t="n">
        <v>3.6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s="2" t="inlineStr"/>
    </row>
    <row r="392" ht="15" customHeight="1">
      <c r="A392" t="inlineStr">
        <is>
          <t>A 56381-2023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45243</v>
      </c>
      <c r="E392" s="1" t="n">
        <v>46218</v>
      </c>
      <c r="F392" t="inlineStr">
        <is>
          <t>VÄSTRA GÖTALANDS LÄN</t>
        </is>
      </c>
      <c r="G392" t="inlineStr">
        <is>
          <t>BENGTSFORS</t>
        </is>
      </c>
      <c r="I392" t="n">
        <v>0.4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s="2" t="inlineStr"/>
    </row>
    <row r="393" ht="15" customHeight="1">
      <c r="A393" t="inlineStr">
        <is>
          <t>A 53757-2025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45960</v>
      </c>
      <c r="E393" s="1" t="n">
        <v>46218</v>
      </c>
      <c r="F393" t="inlineStr">
        <is>
          <t>VÄSTRA GÖTALANDS LÄN</t>
        </is>
      </c>
      <c r="G393" t="inlineStr">
        <is>
          <t>BENGTSFORS</t>
        </is>
      </c>
      <c r="I393" t="n">
        <v>5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s="2" t="inlineStr"/>
    </row>
    <row r="394" ht="15" customHeight="1">
      <c r="A394" t="inlineStr">
        <is>
          <t>A 53745-2025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45960</v>
      </c>
      <c r="E394" s="1" t="n">
        <v>46218</v>
      </c>
      <c r="F394" t="inlineStr">
        <is>
          <t>VÄSTRA GÖTALANDS LÄN</t>
        </is>
      </c>
      <c r="G394" t="inlineStr">
        <is>
          <t>BENGTSFORS</t>
        </is>
      </c>
      <c r="I394" t="n">
        <v>2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s="2" t="inlineStr"/>
    </row>
    <row r="395" ht="15" customHeight="1">
      <c r="A395" t="inlineStr">
        <is>
          <t>A 29800-2023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45107</v>
      </c>
      <c r="E395" s="1" t="n">
        <v>46218</v>
      </c>
      <c r="F395" t="inlineStr">
        <is>
          <t>VÄSTRA GÖTALANDS LÄN</t>
        </is>
      </c>
      <c r="G395" t="inlineStr">
        <is>
          <t>BENGTSFORS</t>
        </is>
      </c>
      <c r="I395" t="n">
        <v>1.3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s="2" t="inlineStr"/>
    </row>
    <row r="396" ht="15" customHeight="1">
      <c r="A396" t="inlineStr">
        <is>
          <t>A 53597-2025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45960</v>
      </c>
      <c r="E396" s="1" t="n">
        <v>46218</v>
      </c>
      <c r="F396" t="inlineStr">
        <is>
          <t>VÄSTRA GÖTALANDS LÄN</t>
        </is>
      </c>
      <c r="G396" t="inlineStr">
        <is>
          <t>BENGTSFORS</t>
        </is>
      </c>
      <c r="I396" t="n">
        <v>1.8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s="2" t="inlineStr"/>
    </row>
    <row r="397" ht="15" customHeight="1">
      <c r="A397" t="inlineStr">
        <is>
          <t>A 6614-2023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44966</v>
      </c>
      <c r="E397" s="1" t="n">
        <v>46218</v>
      </c>
      <c r="F397" t="inlineStr">
        <is>
          <t>VÄSTRA GÖTALANDS LÄN</t>
        </is>
      </c>
      <c r="G397" t="inlineStr">
        <is>
          <t>BENGTSFORS</t>
        </is>
      </c>
      <c r="I397" t="n">
        <v>1.4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s="2" t="inlineStr"/>
    </row>
    <row r="398" ht="15" customHeight="1">
      <c r="A398" t="inlineStr">
        <is>
          <t>A 54132-2025</t>
        </is>
      </c>
      <c r="B398" t="inlineStr">
        <is>
          <t>avverkningsanmälan</t>
        </is>
      </c>
      <c r="C398" t="inlineStr">
        <is>
          <t>Avverkning för annat ändamål</t>
        </is>
      </c>
      <c r="D398" s="1" t="n">
        <v>45964</v>
      </c>
      <c r="E398" s="1" t="n">
        <v>46218</v>
      </c>
      <c r="F398" t="inlineStr">
        <is>
          <t>VÄSTRA GÖTALANDS LÄN</t>
        </is>
      </c>
      <c r="G398" t="inlineStr">
        <is>
          <t>BENGTSFORS</t>
        </is>
      </c>
      <c r="I398" t="n">
        <v>1.8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s="2" t="inlineStr"/>
    </row>
    <row r="399" ht="15" customHeight="1">
      <c r="A399" t="inlineStr">
        <is>
          <t>A 23546-2025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45792</v>
      </c>
      <c r="E399" s="1" t="n">
        <v>46218</v>
      </c>
      <c r="F399" t="inlineStr">
        <is>
          <t>VÄSTRA GÖTALANDS LÄN</t>
        </is>
      </c>
      <c r="G399" t="inlineStr">
        <is>
          <t>BENGTSFORS</t>
        </is>
      </c>
      <c r="I399" t="n">
        <v>1.1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s="2" t="inlineStr"/>
    </row>
    <row r="400" ht="15" customHeight="1">
      <c r="A400" t="inlineStr">
        <is>
          <t>A 22548-2025</t>
        </is>
      </c>
      <c r="B400" t="inlineStr">
        <is>
          <t>avverkningsanmälan</t>
        </is>
      </c>
      <c r="C400" t="inlineStr">
        <is>
          <t>Avverkning för annat ändamål</t>
        </is>
      </c>
      <c r="D400" s="1" t="n">
        <v>45788</v>
      </c>
      <c r="E400" s="1" t="n">
        <v>46218</v>
      </c>
      <c r="F400" t="inlineStr">
        <is>
          <t>VÄSTRA GÖTALANDS LÄN</t>
        </is>
      </c>
      <c r="G400" t="inlineStr">
        <is>
          <t>BENGTSFORS</t>
        </is>
      </c>
      <c r="I400" t="n">
        <v>5.1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s="2" t="inlineStr"/>
    </row>
    <row r="401" ht="15" customHeight="1">
      <c r="A401" t="inlineStr">
        <is>
          <t>A 23659-2025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45792</v>
      </c>
      <c r="E401" s="1" t="n">
        <v>46218</v>
      </c>
      <c r="F401" t="inlineStr">
        <is>
          <t>VÄSTRA GÖTALANDS LÄN</t>
        </is>
      </c>
      <c r="G401" t="inlineStr">
        <is>
          <t>BENGTSFORS</t>
        </is>
      </c>
      <c r="I401" t="n">
        <v>0.5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s="2" t="inlineStr"/>
    </row>
    <row r="402" ht="15" customHeight="1">
      <c r="A402" t="inlineStr">
        <is>
          <t>A 23470-2025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45792</v>
      </c>
      <c r="E402" s="1" t="n">
        <v>46218</v>
      </c>
      <c r="F402" t="inlineStr">
        <is>
          <t>VÄSTRA GÖTALANDS LÄN</t>
        </is>
      </c>
      <c r="G402" t="inlineStr">
        <is>
          <t>BENGTSFORS</t>
        </is>
      </c>
      <c r="I402" t="n">
        <v>3.3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s="2" t="inlineStr"/>
    </row>
    <row r="403" ht="15" customHeight="1">
      <c r="A403" t="inlineStr">
        <is>
          <t>A 13732-2025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45737</v>
      </c>
      <c r="E403" s="1" t="n">
        <v>46218</v>
      </c>
      <c r="F403" t="inlineStr">
        <is>
          <t>VÄSTRA GÖTALANDS LÄN</t>
        </is>
      </c>
      <c r="G403" t="inlineStr">
        <is>
          <t>BENGTSFORS</t>
        </is>
      </c>
      <c r="I403" t="n">
        <v>3.7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s="2" t="inlineStr"/>
    </row>
    <row r="404" ht="15" customHeight="1">
      <c r="A404" t="inlineStr">
        <is>
          <t>A 32703-2023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45121</v>
      </c>
      <c r="E404" s="1" t="n">
        <v>46218</v>
      </c>
      <c r="F404" t="inlineStr">
        <is>
          <t>VÄSTRA GÖTALANDS LÄN</t>
        </is>
      </c>
      <c r="G404" t="inlineStr">
        <is>
          <t>BENGTSFORS</t>
        </is>
      </c>
      <c r="I404" t="n">
        <v>3.5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s="2" t="inlineStr"/>
    </row>
    <row r="405" ht="15" customHeight="1">
      <c r="A405" t="inlineStr">
        <is>
          <t>A 43449-2022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44835</v>
      </c>
      <c r="E405" s="1" t="n">
        <v>46218</v>
      </c>
      <c r="F405" t="inlineStr">
        <is>
          <t>VÄSTRA GÖTALANDS LÄN</t>
        </is>
      </c>
      <c r="G405" t="inlineStr">
        <is>
          <t>BENGTSFORS</t>
        </is>
      </c>
      <c r="I405" t="n">
        <v>1.1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s="2" t="inlineStr"/>
    </row>
    <row r="406" ht="15" customHeight="1">
      <c r="A406" t="inlineStr">
        <is>
          <t>A 2198-2024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45309</v>
      </c>
      <c r="E406" s="1" t="n">
        <v>46218</v>
      </c>
      <c r="F406" t="inlineStr">
        <is>
          <t>VÄSTRA GÖTALANDS LÄN</t>
        </is>
      </c>
      <c r="G406" t="inlineStr">
        <is>
          <t>BENGTSFORS</t>
        </is>
      </c>
      <c r="I406" t="n">
        <v>4.7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s="2" t="inlineStr"/>
    </row>
    <row r="407" ht="15" customHeight="1">
      <c r="A407" t="inlineStr">
        <is>
          <t>A 21229-2023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45062</v>
      </c>
      <c r="E407" s="1" t="n">
        <v>46218</v>
      </c>
      <c r="F407" t="inlineStr">
        <is>
          <t>VÄSTRA GÖTALANDS LÄN</t>
        </is>
      </c>
      <c r="G407" t="inlineStr">
        <is>
          <t>BENGTSFORS</t>
        </is>
      </c>
      <c r="I407" t="n">
        <v>0.8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s="2" t="inlineStr"/>
    </row>
    <row r="408" ht="15" customHeight="1">
      <c r="A408" t="inlineStr">
        <is>
          <t>A 4942-2023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44958</v>
      </c>
      <c r="E408" s="1" t="n">
        <v>46218</v>
      </c>
      <c r="F408" t="inlineStr">
        <is>
          <t>VÄSTRA GÖTALANDS LÄN</t>
        </is>
      </c>
      <c r="G408" t="inlineStr">
        <is>
          <t>BENGTSFORS</t>
        </is>
      </c>
      <c r="I408" t="n">
        <v>0.7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s="2" t="inlineStr"/>
    </row>
    <row r="409" ht="15" customHeight="1">
      <c r="A409" t="inlineStr">
        <is>
          <t>A 28460-2024</t>
        </is>
      </c>
      <c r="B409" t="inlineStr">
        <is>
          <t>avverkningsanmälan</t>
        </is>
      </c>
      <c r="C409" t="inlineStr">
        <is>
          <t>Avverkning för annat ändamål</t>
        </is>
      </c>
      <c r="D409" s="1" t="n">
        <v>45477</v>
      </c>
      <c r="E409" s="1" t="n">
        <v>46218</v>
      </c>
      <c r="F409" t="inlineStr">
        <is>
          <t>VÄSTRA GÖTALANDS LÄN</t>
        </is>
      </c>
      <c r="G409" t="inlineStr">
        <is>
          <t>BENGTSFORS</t>
        </is>
      </c>
      <c r="I409" t="n">
        <v>2.3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s="2" t="inlineStr"/>
    </row>
    <row r="410" ht="15" customHeight="1">
      <c r="A410" t="inlineStr">
        <is>
          <t>A 54173-2025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45964</v>
      </c>
      <c r="E410" s="1" t="n">
        <v>46218</v>
      </c>
      <c r="F410" t="inlineStr">
        <is>
          <t>VÄSTRA GÖTALANDS LÄN</t>
        </is>
      </c>
      <c r="G410" t="inlineStr">
        <is>
          <t>BENGTSFORS</t>
        </is>
      </c>
      <c r="I410" t="n">
        <v>1.4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s="2" t="inlineStr"/>
    </row>
    <row r="411" ht="15" customHeight="1">
      <c r="A411" t="inlineStr">
        <is>
          <t>A 45147-2024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45575</v>
      </c>
      <c r="E411" s="1" t="n">
        <v>46218</v>
      </c>
      <c r="F411" t="inlineStr">
        <is>
          <t>VÄSTRA GÖTALANDS LÄN</t>
        </is>
      </c>
      <c r="G411" t="inlineStr">
        <is>
          <t>BENGTSFORS</t>
        </is>
      </c>
      <c r="I411" t="n">
        <v>3.3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s="2" t="inlineStr"/>
    </row>
    <row r="412" ht="15" customHeight="1">
      <c r="A412" t="inlineStr">
        <is>
          <t>A 20112-2025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45772</v>
      </c>
      <c r="E412" s="1" t="n">
        <v>46218</v>
      </c>
      <c r="F412" t="inlineStr">
        <is>
          <t>VÄSTRA GÖTALANDS LÄN</t>
        </is>
      </c>
      <c r="G412" t="inlineStr">
        <is>
          <t>BENGTSFORS</t>
        </is>
      </c>
      <c r="I412" t="n">
        <v>1.4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s="2" t="inlineStr"/>
    </row>
    <row r="413" ht="15" customHeight="1">
      <c r="A413" t="inlineStr">
        <is>
          <t>A 60660-2023</t>
        </is>
      </c>
      <c r="B413" t="inlineStr">
        <is>
          <t>avverkningsanmälan</t>
        </is>
      </c>
      <c r="C413" t="inlineStr">
        <is>
          <t>Avverkning för annat ändamål</t>
        </is>
      </c>
      <c r="D413" s="1" t="n">
        <v>45260</v>
      </c>
      <c r="E413" s="1" t="n">
        <v>46218</v>
      </c>
      <c r="F413" t="inlineStr">
        <is>
          <t>VÄSTRA GÖTALANDS LÄN</t>
        </is>
      </c>
      <c r="G413" t="inlineStr">
        <is>
          <t>BENGTSFORS</t>
        </is>
      </c>
      <c r="I413" t="n">
        <v>1.7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s="2" t="inlineStr"/>
    </row>
    <row r="414" ht="15" customHeight="1">
      <c r="A414" t="inlineStr">
        <is>
          <t>A 3957-2025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45684</v>
      </c>
      <c r="E414" s="1" t="n">
        <v>46218</v>
      </c>
      <c r="F414" t="inlineStr">
        <is>
          <t>VÄSTRA GÖTALANDS LÄN</t>
        </is>
      </c>
      <c r="G414" t="inlineStr">
        <is>
          <t>BENGTSFORS</t>
        </is>
      </c>
      <c r="I414" t="n">
        <v>1.1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s="2" t="inlineStr"/>
    </row>
    <row r="415" ht="15" customHeight="1">
      <c r="A415" t="inlineStr">
        <is>
          <t>A 20452-2025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45775</v>
      </c>
      <c r="E415" s="1" t="n">
        <v>46218</v>
      </c>
      <c r="F415" t="inlineStr">
        <is>
          <t>VÄSTRA GÖTALANDS LÄN</t>
        </is>
      </c>
      <c r="G415" t="inlineStr">
        <is>
          <t>BENGTSFORS</t>
        </is>
      </c>
      <c r="I415" t="n">
        <v>0.5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s="2" t="inlineStr"/>
    </row>
    <row r="416" ht="15" customHeight="1">
      <c r="A416" t="inlineStr">
        <is>
          <t>A 9979-2024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45363</v>
      </c>
      <c r="E416" s="1" t="n">
        <v>46218</v>
      </c>
      <c r="F416" t="inlineStr">
        <is>
          <t>VÄSTRA GÖTALANDS LÄN</t>
        </is>
      </c>
      <c r="G416" t="inlineStr">
        <is>
          <t>BENGTSFORS</t>
        </is>
      </c>
      <c r="I416" t="n">
        <v>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s="2" t="inlineStr"/>
    </row>
    <row r="417" ht="15" customHeight="1">
      <c r="A417" t="inlineStr">
        <is>
          <t>A 56001-2022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44889</v>
      </c>
      <c r="E417" s="1" t="n">
        <v>46218</v>
      </c>
      <c r="F417" t="inlineStr">
        <is>
          <t>VÄSTRA GÖTALANDS LÄN</t>
        </is>
      </c>
      <c r="G417" t="inlineStr">
        <is>
          <t>BENGTSFORS</t>
        </is>
      </c>
      <c r="I417" t="n">
        <v>1.5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s="2" t="inlineStr"/>
    </row>
    <row r="418" ht="15" customHeight="1">
      <c r="A418" t="inlineStr">
        <is>
          <t>A 24520-2025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45798</v>
      </c>
      <c r="E418" s="1" t="n">
        <v>46218</v>
      </c>
      <c r="F418" t="inlineStr">
        <is>
          <t>VÄSTRA GÖTALANDS LÄN</t>
        </is>
      </c>
      <c r="G418" t="inlineStr">
        <is>
          <t>BENGTSFORS</t>
        </is>
      </c>
      <c r="H418" t="inlineStr">
        <is>
          <t>Kyrkan</t>
        </is>
      </c>
      <c r="I418" t="n">
        <v>1.3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s="2" t="inlineStr"/>
    </row>
    <row r="419" ht="15" customHeight="1">
      <c r="A419" t="inlineStr">
        <is>
          <t>A 27739-2023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45098</v>
      </c>
      <c r="E419" s="1" t="n">
        <v>46218</v>
      </c>
      <c r="F419" t="inlineStr">
        <is>
          <t>VÄSTRA GÖTALANDS LÄN</t>
        </is>
      </c>
      <c r="G419" t="inlineStr">
        <is>
          <t>BENGTSFORS</t>
        </is>
      </c>
      <c r="I419" t="n">
        <v>4.6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s="2" t="inlineStr"/>
    </row>
    <row r="420" ht="15" customHeight="1">
      <c r="A420" t="inlineStr">
        <is>
          <t>A 42396-2024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45565</v>
      </c>
      <c r="E420" s="1" t="n">
        <v>46218</v>
      </c>
      <c r="F420" t="inlineStr">
        <is>
          <t>VÄSTRA GÖTALANDS LÄN</t>
        </is>
      </c>
      <c r="G420" t="inlineStr">
        <is>
          <t>BENGTSFORS</t>
        </is>
      </c>
      <c r="I420" t="n">
        <v>1.1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s="2" t="inlineStr"/>
    </row>
    <row r="421" ht="15" customHeight="1">
      <c r="A421" t="inlineStr">
        <is>
          <t>A 54596-2025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45965</v>
      </c>
      <c r="E421" s="1" t="n">
        <v>46218</v>
      </c>
      <c r="F421" t="inlineStr">
        <is>
          <t>VÄSTRA GÖTALANDS LÄN</t>
        </is>
      </c>
      <c r="G421" t="inlineStr">
        <is>
          <t>BENGTSFORS</t>
        </is>
      </c>
      <c r="I421" t="n">
        <v>4.2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s="2" t="inlineStr"/>
    </row>
    <row r="422" ht="15" customHeight="1">
      <c r="A422" t="inlineStr">
        <is>
          <t>A 33824-2024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45520</v>
      </c>
      <c r="E422" s="1" t="n">
        <v>46218</v>
      </c>
      <c r="F422" t="inlineStr">
        <is>
          <t>VÄSTRA GÖTALANDS LÄN</t>
        </is>
      </c>
      <c r="G422" t="inlineStr">
        <is>
          <t>BENGTSFORS</t>
        </is>
      </c>
      <c r="I422" t="n">
        <v>5.3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s="2" t="inlineStr"/>
    </row>
    <row r="423" ht="15" customHeight="1">
      <c r="A423" t="inlineStr">
        <is>
          <t>A 46929-2023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45201</v>
      </c>
      <c r="E423" s="1" t="n">
        <v>46218</v>
      </c>
      <c r="F423" t="inlineStr">
        <is>
          <t>VÄSTRA GÖTALANDS LÄN</t>
        </is>
      </c>
      <c r="G423" t="inlineStr">
        <is>
          <t>BENGTSFORS</t>
        </is>
      </c>
      <c r="I423" t="n">
        <v>1.8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s="2" t="inlineStr"/>
    </row>
    <row r="424" ht="15" customHeight="1">
      <c r="A424" t="inlineStr">
        <is>
          <t>A 52902-2022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44875</v>
      </c>
      <c r="E424" s="1" t="n">
        <v>46218</v>
      </c>
      <c r="F424" t="inlineStr">
        <is>
          <t>VÄSTRA GÖTALANDS LÄN</t>
        </is>
      </c>
      <c r="G424" t="inlineStr">
        <is>
          <t>BENGTSFORS</t>
        </is>
      </c>
      <c r="I424" t="n">
        <v>3.3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s="2" t="inlineStr"/>
    </row>
    <row r="425" ht="15" customHeight="1">
      <c r="A425" t="inlineStr">
        <is>
          <t>A 49409-2022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44861</v>
      </c>
      <c r="E425" s="1" t="n">
        <v>46218</v>
      </c>
      <c r="F425" t="inlineStr">
        <is>
          <t>VÄSTRA GÖTALANDS LÄN</t>
        </is>
      </c>
      <c r="G425" t="inlineStr">
        <is>
          <t>BENGTSFORS</t>
        </is>
      </c>
      <c r="I425" t="n">
        <v>2.7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s="2" t="inlineStr"/>
    </row>
    <row r="426" ht="15" customHeight="1">
      <c r="A426" t="inlineStr">
        <is>
          <t>A 35188-2024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45530</v>
      </c>
      <c r="E426" s="1" t="n">
        <v>46218</v>
      </c>
      <c r="F426" t="inlineStr">
        <is>
          <t>VÄSTRA GÖTALANDS LÄN</t>
        </is>
      </c>
      <c r="G426" t="inlineStr">
        <is>
          <t>BENGTSFORS</t>
        </is>
      </c>
      <c r="I426" t="n">
        <v>3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s="2" t="inlineStr"/>
    </row>
    <row r="427" ht="15" customHeight="1">
      <c r="A427" t="inlineStr">
        <is>
          <t>A 12075-2023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44997</v>
      </c>
      <c r="E427" s="1" t="n">
        <v>46218</v>
      </c>
      <c r="F427" t="inlineStr">
        <is>
          <t>VÄSTRA GÖTALANDS LÄN</t>
        </is>
      </c>
      <c r="G427" t="inlineStr">
        <is>
          <t>BENGTSFORS</t>
        </is>
      </c>
      <c r="I427" t="n">
        <v>1.3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s="2" t="inlineStr"/>
    </row>
    <row r="428" ht="15" customHeight="1">
      <c r="A428" t="inlineStr">
        <is>
          <t>A 20164-2025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45772</v>
      </c>
      <c r="E428" s="1" t="n">
        <v>46218</v>
      </c>
      <c r="F428" t="inlineStr">
        <is>
          <t>VÄSTRA GÖTALANDS LÄN</t>
        </is>
      </c>
      <c r="G428" t="inlineStr">
        <is>
          <t>BENGTSFORS</t>
        </is>
      </c>
      <c r="I428" t="n">
        <v>2.4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s="2" t="inlineStr"/>
    </row>
    <row r="429" ht="15" customHeight="1">
      <c r="A429" t="inlineStr">
        <is>
          <t>A 31246-2024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45503</v>
      </c>
      <c r="E429" s="1" t="n">
        <v>46218</v>
      </c>
      <c r="F429" t="inlineStr">
        <is>
          <t>VÄSTRA GÖTALANDS LÄN</t>
        </is>
      </c>
      <c r="G429" t="inlineStr">
        <is>
          <t>BENGTSFORS</t>
        </is>
      </c>
      <c r="I429" t="n">
        <v>1.5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s="2" t="inlineStr"/>
    </row>
    <row r="430" ht="15" customHeight="1">
      <c r="A430" t="inlineStr">
        <is>
          <t>A 15661-2025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45748</v>
      </c>
      <c r="E430" s="1" t="n">
        <v>46218</v>
      </c>
      <c r="F430" t="inlineStr">
        <is>
          <t>VÄSTRA GÖTALANDS LÄN</t>
        </is>
      </c>
      <c r="G430" t="inlineStr">
        <is>
          <t>BENGTSFORS</t>
        </is>
      </c>
      <c r="H430" t="inlineStr">
        <is>
          <t>Kommuner</t>
        </is>
      </c>
      <c r="I430" t="n">
        <v>3.2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s="2" t="inlineStr"/>
    </row>
    <row r="431" ht="15" customHeight="1">
      <c r="A431" t="inlineStr">
        <is>
          <t>A 35690-2024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45532</v>
      </c>
      <c r="E431" s="1" t="n">
        <v>46218</v>
      </c>
      <c r="F431" t="inlineStr">
        <is>
          <t>VÄSTRA GÖTALANDS LÄN</t>
        </is>
      </c>
      <c r="G431" t="inlineStr">
        <is>
          <t>BENGTSFORS</t>
        </is>
      </c>
      <c r="I431" t="n">
        <v>1.1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s="2" t="inlineStr"/>
    </row>
    <row r="432" ht="15" customHeight="1">
      <c r="A432" t="inlineStr">
        <is>
          <t>A 15727-2024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45404</v>
      </c>
      <c r="E432" s="1" t="n">
        <v>46218</v>
      </c>
      <c r="F432" t="inlineStr">
        <is>
          <t>VÄSTRA GÖTALANDS LÄN</t>
        </is>
      </c>
      <c r="G432" t="inlineStr">
        <is>
          <t>BENGTSFORS</t>
        </is>
      </c>
      <c r="I432" t="n">
        <v>1.8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s="2" t="inlineStr"/>
    </row>
    <row r="433" ht="15" customHeight="1">
      <c r="A433" t="inlineStr">
        <is>
          <t>A 25088-2025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45800</v>
      </c>
      <c r="E433" s="1" t="n">
        <v>46218</v>
      </c>
      <c r="F433" t="inlineStr">
        <is>
          <t>VÄSTRA GÖTALANDS LÄN</t>
        </is>
      </c>
      <c r="G433" t="inlineStr">
        <is>
          <t>BENGTSFORS</t>
        </is>
      </c>
      <c r="I433" t="n">
        <v>2.6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s="2" t="inlineStr"/>
    </row>
    <row r="434" ht="15" customHeight="1">
      <c r="A434" t="inlineStr">
        <is>
          <t>A 56967-2024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45628</v>
      </c>
      <c r="E434" s="1" t="n">
        <v>46218</v>
      </c>
      <c r="F434" t="inlineStr">
        <is>
          <t>VÄSTRA GÖTALANDS LÄN</t>
        </is>
      </c>
      <c r="G434" t="inlineStr">
        <is>
          <t>BENGTSFORS</t>
        </is>
      </c>
      <c r="I434" t="n">
        <v>2.8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s="2" t="inlineStr"/>
    </row>
    <row r="435" ht="15" customHeight="1">
      <c r="A435" t="inlineStr">
        <is>
          <t>A 19086-2025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45766</v>
      </c>
      <c r="E435" s="1" t="n">
        <v>46218</v>
      </c>
      <c r="F435" t="inlineStr">
        <is>
          <t>VÄSTRA GÖTALANDS LÄN</t>
        </is>
      </c>
      <c r="G435" t="inlineStr">
        <is>
          <t>BENGTSFORS</t>
        </is>
      </c>
      <c r="I435" t="n">
        <v>1.6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s="2" t="inlineStr"/>
    </row>
    <row r="436" ht="15" customHeight="1">
      <c r="A436" t="inlineStr">
        <is>
          <t>A 7867-2022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44608</v>
      </c>
      <c r="E436" s="1" t="n">
        <v>46218</v>
      </c>
      <c r="F436" t="inlineStr">
        <is>
          <t>VÄSTRA GÖTALANDS LÄN</t>
        </is>
      </c>
      <c r="G436" t="inlineStr">
        <is>
          <t>BENGTSFORS</t>
        </is>
      </c>
      <c r="I436" t="n">
        <v>9.199999999999999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s="2" t="inlineStr"/>
    </row>
    <row r="437" ht="15" customHeight="1">
      <c r="A437" t="inlineStr">
        <is>
          <t>A 41213-2024</t>
        </is>
      </c>
      <c r="B437" t="inlineStr">
        <is>
          <t>avverkningsanmälan</t>
        </is>
      </c>
      <c r="C437" t="inlineStr">
        <is>
          <t>Avverkning för annat ändamål</t>
        </is>
      </c>
      <c r="D437" s="1" t="n">
        <v>45559</v>
      </c>
      <c r="E437" s="1" t="n">
        <v>46218</v>
      </c>
      <c r="F437" t="inlineStr">
        <is>
          <t>VÄSTRA GÖTALANDS LÄN</t>
        </is>
      </c>
      <c r="G437" t="inlineStr">
        <is>
          <t>BENGTSFORS</t>
        </is>
      </c>
      <c r="I437" t="n">
        <v>1.3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s="2" t="inlineStr"/>
    </row>
    <row r="438" ht="15" customHeight="1">
      <c r="A438" t="inlineStr">
        <is>
          <t>A 47716-2024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45588</v>
      </c>
      <c r="E438" s="1" t="n">
        <v>46218</v>
      </c>
      <c r="F438" t="inlineStr">
        <is>
          <t>VÄSTRA GÖTALANDS LÄN</t>
        </is>
      </c>
      <c r="G438" t="inlineStr">
        <is>
          <t>BENGTSFORS</t>
        </is>
      </c>
      <c r="I438" t="n">
        <v>2.1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s="2" t="inlineStr"/>
    </row>
    <row r="439" ht="15" customHeight="1">
      <c r="A439" t="inlineStr">
        <is>
          <t>A 51550-2024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45604</v>
      </c>
      <c r="E439" s="1" t="n">
        <v>46218</v>
      </c>
      <c r="F439" t="inlineStr">
        <is>
          <t>VÄSTRA GÖTALANDS LÄN</t>
        </is>
      </c>
      <c r="G439" t="inlineStr">
        <is>
          <t>BENGTSFORS</t>
        </is>
      </c>
      <c r="I439" t="n">
        <v>15.7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s="2" t="inlineStr"/>
    </row>
    <row r="440" ht="15" customHeight="1">
      <c r="A440" t="inlineStr">
        <is>
          <t>A 3823-2023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44951</v>
      </c>
      <c r="E440" s="1" t="n">
        <v>46218</v>
      </c>
      <c r="F440" t="inlineStr">
        <is>
          <t>VÄSTRA GÖTALANDS LÄN</t>
        </is>
      </c>
      <c r="G440" t="inlineStr">
        <is>
          <t>BENGTSFORS</t>
        </is>
      </c>
      <c r="I440" t="n">
        <v>1.6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s="2" t="inlineStr"/>
    </row>
    <row r="441" ht="15" customHeight="1">
      <c r="A441" t="inlineStr">
        <is>
          <t>A 5007-2023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44958</v>
      </c>
      <c r="E441" s="1" t="n">
        <v>46218</v>
      </c>
      <c r="F441" t="inlineStr">
        <is>
          <t>VÄSTRA GÖTALANDS LÄN</t>
        </is>
      </c>
      <c r="G441" t="inlineStr">
        <is>
          <t>BENGTSFORS</t>
        </is>
      </c>
      <c r="I441" t="n">
        <v>2.2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s="2" t="inlineStr"/>
    </row>
    <row r="442" ht="15" customHeight="1">
      <c r="A442" t="inlineStr">
        <is>
          <t>A 39917-2021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44417</v>
      </c>
      <c r="E442" s="1" t="n">
        <v>46218</v>
      </c>
      <c r="F442" t="inlineStr">
        <is>
          <t>VÄSTRA GÖTALANDS LÄN</t>
        </is>
      </c>
      <c r="G442" t="inlineStr">
        <is>
          <t>BENGTSFORS</t>
        </is>
      </c>
      <c r="I442" t="n">
        <v>1.3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s="2" t="inlineStr"/>
    </row>
    <row r="443" ht="15" customHeight="1">
      <c r="A443" t="inlineStr">
        <is>
          <t>A 7431-2023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44971</v>
      </c>
      <c r="E443" s="1" t="n">
        <v>46218</v>
      </c>
      <c r="F443" t="inlineStr">
        <is>
          <t>VÄSTRA GÖTALANDS LÄN</t>
        </is>
      </c>
      <c r="G443" t="inlineStr">
        <is>
          <t>BENGTSFORS</t>
        </is>
      </c>
      <c r="I443" t="n">
        <v>7.1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s="2" t="inlineStr"/>
    </row>
    <row r="444" ht="15" customHeight="1">
      <c r="A444" t="inlineStr">
        <is>
          <t>A 2165-2024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45309</v>
      </c>
      <c r="E444" s="1" t="n">
        <v>46218</v>
      </c>
      <c r="F444" t="inlineStr">
        <is>
          <t>VÄSTRA GÖTALANDS LÄN</t>
        </is>
      </c>
      <c r="G444" t="inlineStr">
        <is>
          <t>BENGTSFORS</t>
        </is>
      </c>
      <c r="I444" t="n">
        <v>5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s="2" t="inlineStr"/>
    </row>
    <row r="445" ht="15" customHeight="1">
      <c r="A445" t="inlineStr">
        <is>
          <t>A 10882-2025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45722</v>
      </c>
      <c r="E445" s="1" t="n">
        <v>46218</v>
      </c>
      <c r="F445" t="inlineStr">
        <is>
          <t>VÄSTRA GÖTALANDS LÄN</t>
        </is>
      </c>
      <c r="G445" t="inlineStr">
        <is>
          <t>BENGTSFORS</t>
        </is>
      </c>
      <c r="I445" t="n">
        <v>1.8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s="2" t="inlineStr"/>
    </row>
    <row r="446" ht="15" customHeight="1">
      <c r="A446" t="inlineStr">
        <is>
          <t>A 55345-2025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45971</v>
      </c>
      <c r="E446" s="1" t="n">
        <v>46218</v>
      </c>
      <c r="F446" t="inlineStr">
        <is>
          <t>VÄSTRA GÖTALANDS LÄN</t>
        </is>
      </c>
      <c r="G446" t="inlineStr">
        <is>
          <t>BENGTSFORS</t>
        </is>
      </c>
      <c r="I446" t="n">
        <v>5.9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s="2" t="inlineStr"/>
    </row>
    <row r="447" ht="15" customHeight="1">
      <c r="A447" t="inlineStr">
        <is>
          <t>A 5759-2025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45694</v>
      </c>
      <c r="E447" s="1" t="n">
        <v>46218</v>
      </c>
      <c r="F447" t="inlineStr">
        <is>
          <t>VÄSTRA GÖTALANDS LÄN</t>
        </is>
      </c>
      <c r="G447" t="inlineStr">
        <is>
          <t>BENGTSFORS</t>
        </is>
      </c>
      <c r="I447" t="n">
        <v>2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s="2" t="inlineStr"/>
    </row>
    <row r="448" ht="15" customHeight="1">
      <c r="A448" t="inlineStr">
        <is>
          <t>A 41166-2024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45559</v>
      </c>
      <c r="E448" s="1" t="n">
        <v>46218</v>
      </c>
      <c r="F448" t="inlineStr">
        <is>
          <t>VÄSTRA GÖTALANDS LÄN</t>
        </is>
      </c>
      <c r="G448" t="inlineStr">
        <is>
          <t>BENGTSFORS</t>
        </is>
      </c>
      <c r="I448" t="n">
        <v>3.2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s="2" t="inlineStr"/>
    </row>
    <row r="449" ht="15" customHeight="1">
      <c r="A449" t="inlineStr">
        <is>
          <t>A 12292-2024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45378</v>
      </c>
      <c r="E449" s="1" t="n">
        <v>46218</v>
      </c>
      <c r="F449" t="inlineStr">
        <is>
          <t>VÄSTRA GÖTALANDS LÄN</t>
        </is>
      </c>
      <c r="G449" t="inlineStr">
        <is>
          <t>BENGTSFORS</t>
        </is>
      </c>
      <c r="I449" t="n">
        <v>2.3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s="2" t="inlineStr"/>
    </row>
    <row r="450" ht="15" customHeight="1">
      <c r="A450" t="inlineStr">
        <is>
          <t>A 60909-2023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45261</v>
      </c>
      <c r="E450" s="1" t="n">
        <v>46218</v>
      </c>
      <c r="F450" t="inlineStr">
        <is>
          <t>VÄSTRA GÖTALANDS LÄN</t>
        </is>
      </c>
      <c r="G450" t="inlineStr">
        <is>
          <t>BENGTSFORS</t>
        </is>
      </c>
      <c r="I450" t="n">
        <v>0.4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s="2" t="inlineStr"/>
    </row>
    <row r="451" ht="15" customHeight="1">
      <c r="A451" t="inlineStr">
        <is>
          <t>A 21172-2022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44704</v>
      </c>
      <c r="E451" s="1" t="n">
        <v>46218</v>
      </c>
      <c r="F451" t="inlineStr">
        <is>
          <t>VÄSTRA GÖTALANDS LÄN</t>
        </is>
      </c>
      <c r="G451" t="inlineStr">
        <is>
          <t>BENGTSFORS</t>
        </is>
      </c>
      <c r="I451" t="n">
        <v>4.1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s="2" t="inlineStr"/>
    </row>
    <row r="452" ht="15" customHeight="1">
      <c r="A452" t="inlineStr">
        <is>
          <t>A 46745-2023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45198</v>
      </c>
      <c r="E452" s="1" t="n">
        <v>46218</v>
      </c>
      <c r="F452" t="inlineStr">
        <is>
          <t>VÄSTRA GÖTALANDS LÄN</t>
        </is>
      </c>
      <c r="G452" t="inlineStr">
        <is>
          <t>BENGTSFORS</t>
        </is>
      </c>
      <c r="I452" t="n">
        <v>5.6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s="2" t="inlineStr"/>
    </row>
    <row r="453" ht="15" customHeight="1">
      <c r="A453" t="inlineStr">
        <is>
          <t>A 58158-2024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45632</v>
      </c>
      <c r="E453" s="1" t="n">
        <v>46218</v>
      </c>
      <c r="F453" t="inlineStr">
        <is>
          <t>VÄSTRA GÖTALANDS LÄN</t>
        </is>
      </c>
      <c r="G453" t="inlineStr">
        <is>
          <t>BENGTSFORS</t>
        </is>
      </c>
      <c r="I453" t="n">
        <v>1.4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s="2" t="inlineStr"/>
    </row>
    <row r="454" ht="15" customHeight="1">
      <c r="A454" t="inlineStr">
        <is>
          <t>A 43277-2022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44834</v>
      </c>
      <c r="E454" s="1" t="n">
        <v>46218</v>
      </c>
      <c r="F454" t="inlineStr">
        <is>
          <t>VÄSTRA GÖTALANDS LÄN</t>
        </is>
      </c>
      <c r="G454" t="inlineStr">
        <is>
          <t>BENGTSFORS</t>
        </is>
      </c>
      <c r="H454" t="inlineStr">
        <is>
          <t>Kyrkan</t>
        </is>
      </c>
      <c r="I454" t="n">
        <v>4.2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s="2" t="inlineStr"/>
    </row>
    <row r="455" ht="15" customHeight="1">
      <c r="A455" t="inlineStr">
        <is>
          <t>A 4427-2024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45327</v>
      </c>
      <c r="E455" s="1" t="n">
        <v>46218</v>
      </c>
      <c r="F455" t="inlineStr">
        <is>
          <t>VÄSTRA GÖTALANDS LÄN</t>
        </is>
      </c>
      <c r="G455" t="inlineStr">
        <is>
          <t>BENGTSFORS</t>
        </is>
      </c>
      <c r="I455" t="n">
        <v>1.2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s="2" t="inlineStr"/>
      <c r="X455">
        <f>HYPERLINK("https://klasma.github.io/Logging_1460/knärot/A 4427-2024 karta knärot.png", "A 4427-2024")</f>
        <v/>
      </c>
      <c r="Y455">
        <f>HYPERLINK("https://klasma.github.io/Logging_1460/klagomål/A 4427-2024 FSC-klagomål.docx", "A 4427-2024")</f>
        <v/>
      </c>
      <c r="Z455">
        <f>HYPERLINK("https://klasma.github.io/Logging_1460/klagomålsmail/A 4427-2024 FSC-klagomål mail.docx", "A 4427-2024")</f>
        <v/>
      </c>
      <c r="AA455">
        <f>HYPERLINK("https://klasma.github.io/Logging_1460/tillsyn/A 4427-2024 tillsynsbegäran.docx", "A 4427-2024")</f>
        <v/>
      </c>
      <c r="AB455">
        <f>HYPERLINK("https://klasma.github.io/Logging_1460/tillsynsmail/A 4427-2024 tillsynsbegäran mail.docx", "A 4427-2024")</f>
        <v/>
      </c>
    </row>
    <row r="456" ht="15" customHeight="1">
      <c r="A456" t="inlineStr">
        <is>
          <t>A 37736-2024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45541</v>
      </c>
      <c r="E456" s="1" t="n">
        <v>46218</v>
      </c>
      <c r="F456" t="inlineStr">
        <is>
          <t>VÄSTRA GÖTALANDS LÄN</t>
        </is>
      </c>
      <c r="G456" t="inlineStr">
        <is>
          <t>BENGTSFORS</t>
        </is>
      </c>
      <c r="I456" t="n">
        <v>1.2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s="2" t="inlineStr"/>
    </row>
    <row r="457" ht="15" customHeight="1">
      <c r="A457" t="inlineStr">
        <is>
          <t>A 33609-2023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45132</v>
      </c>
      <c r="E457" s="1" t="n">
        <v>46218</v>
      </c>
      <c r="F457" t="inlineStr">
        <is>
          <t>VÄSTRA GÖTALANDS LÄN</t>
        </is>
      </c>
      <c r="G457" t="inlineStr">
        <is>
          <t>BENGTSFORS</t>
        </is>
      </c>
      <c r="I457" t="n">
        <v>1.6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s="2" t="inlineStr"/>
    </row>
    <row r="458" ht="15" customHeight="1">
      <c r="A458" t="inlineStr">
        <is>
          <t>A 20908-2023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45060</v>
      </c>
      <c r="E458" s="1" t="n">
        <v>46218</v>
      </c>
      <c r="F458" t="inlineStr">
        <is>
          <t>VÄSTRA GÖTALANDS LÄN</t>
        </is>
      </c>
      <c r="G458" t="inlineStr">
        <is>
          <t>BENGTSFORS</t>
        </is>
      </c>
      <c r="I458" t="n">
        <v>0.8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s="2" t="inlineStr"/>
    </row>
    <row r="459" ht="15" customHeight="1">
      <c r="A459" t="inlineStr">
        <is>
          <t>A 10091-2022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44621</v>
      </c>
      <c r="E459" s="1" t="n">
        <v>46218</v>
      </c>
      <c r="F459" t="inlineStr">
        <is>
          <t>VÄSTRA GÖTALANDS LÄN</t>
        </is>
      </c>
      <c r="G459" t="inlineStr">
        <is>
          <t>BENGTSFORS</t>
        </is>
      </c>
      <c r="I459" t="n">
        <v>1.1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s="2" t="inlineStr"/>
    </row>
    <row r="460" ht="15" customHeight="1">
      <c r="A460" t="inlineStr">
        <is>
          <t>A 27838-2025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45817</v>
      </c>
      <c r="E460" s="1" t="n">
        <v>46218</v>
      </c>
      <c r="F460" t="inlineStr">
        <is>
          <t>VÄSTRA GÖTALANDS LÄN</t>
        </is>
      </c>
      <c r="G460" t="inlineStr">
        <is>
          <t>BENGTSFORS</t>
        </is>
      </c>
      <c r="H460" t="inlineStr">
        <is>
          <t>Övriga Aktiebolag</t>
        </is>
      </c>
      <c r="I460" t="n">
        <v>2.2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s="2" t="inlineStr"/>
    </row>
    <row r="461" ht="15" customHeight="1">
      <c r="A461" t="inlineStr">
        <is>
          <t>A 56203-2025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45974</v>
      </c>
      <c r="E461" s="1" t="n">
        <v>46218</v>
      </c>
      <c r="F461" t="inlineStr">
        <is>
          <t>VÄSTRA GÖTALANDS LÄN</t>
        </is>
      </c>
      <c r="G461" t="inlineStr">
        <is>
          <t>BENGTSFORS</t>
        </is>
      </c>
      <c r="I461" t="n">
        <v>1.3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s="2" t="inlineStr"/>
    </row>
    <row r="462" ht="15" customHeight="1">
      <c r="A462" t="inlineStr">
        <is>
          <t>A 43336-2021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44432</v>
      </c>
      <c r="E462" s="1" t="n">
        <v>46218</v>
      </c>
      <c r="F462" t="inlineStr">
        <is>
          <t>VÄSTRA GÖTALANDS LÄN</t>
        </is>
      </c>
      <c r="G462" t="inlineStr">
        <is>
          <t>BENGTSFORS</t>
        </is>
      </c>
      <c r="I462" t="n">
        <v>3.3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s="2" t="inlineStr"/>
    </row>
    <row r="463" ht="15" customHeight="1">
      <c r="A463" t="inlineStr">
        <is>
          <t>A 56243-2025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45974</v>
      </c>
      <c r="E463" s="1" t="n">
        <v>46218</v>
      </c>
      <c r="F463" t="inlineStr">
        <is>
          <t>VÄSTRA GÖTALANDS LÄN</t>
        </is>
      </c>
      <c r="G463" t="inlineStr">
        <is>
          <t>BENGTSFORS</t>
        </is>
      </c>
      <c r="H463" t="inlineStr">
        <is>
          <t>Övriga Aktiebolag</t>
        </is>
      </c>
      <c r="I463" t="n">
        <v>0.7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s="2" t="inlineStr"/>
    </row>
    <row r="464" ht="15" customHeight="1">
      <c r="A464" t="inlineStr">
        <is>
          <t>A 27983-2025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45817</v>
      </c>
      <c r="E464" s="1" t="n">
        <v>46218</v>
      </c>
      <c r="F464" t="inlineStr">
        <is>
          <t>VÄSTRA GÖTALANDS LÄN</t>
        </is>
      </c>
      <c r="G464" t="inlineStr">
        <is>
          <t>BENGTSFORS</t>
        </is>
      </c>
      <c r="I464" t="n">
        <v>1.9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s="2" t="inlineStr"/>
    </row>
    <row r="465" ht="15" customHeight="1">
      <c r="A465" t="inlineStr">
        <is>
          <t>A 51830-2025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45952</v>
      </c>
      <c r="E465" s="1" t="n">
        <v>46218</v>
      </c>
      <c r="F465" t="inlineStr">
        <is>
          <t>VÄSTRA GÖTALANDS LÄN</t>
        </is>
      </c>
      <c r="G465" t="inlineStr">
        <is>
          <t>BENGTSFORS</t>
        </is>
      </c>
      <c r="I465" t="n">
        <v>6.1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s="2" t="inlineStr"/>
    </row>
    <row r="466" ht="15" customHeight="1">
      <c r="A466" t="inlineStr">
        <is>
          <t>A 51832-2025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45952</v>
      </c>
      <c r="E466" s="1" t="n">
        <v>46218</v>
      </c>
      <c r="F466" t="inlineStr">
        <is>
          <t>VÄSTRA GÖTALANDS LÄN</t>
        </is>
      </c>
      <c r="G466" t="inlineStr">
        <is>
          <t>BENGTSFORS</t>
        </is>
      </c>
      <c r="I466" t="n">
        <v>11.6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s="2" t="inlineStr"/>
    </row>
    <row r="467" ht="15" customHeight="1">
      <c r="A467" t="inlineStr">
        <is>
          <t>A 27986-2025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45817</v>
      </c>
      <c r="E467" s="1" t="n">
        <v>46218</v>
      </c>
      <c r="F467" t="inlineStr">
        <is>
          <t>VÄSTRA GÖTALANDS LÄN</t>
        </is>
      </c>
      <c r="G467" t="inlineStr">
        <is>
          <t>BENGTSFORS</t>
        </is>
      </c>
      <c r="I467" t="n">
        <v>1.2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s="2" t="inlineStr"/>
    </row>
    <row r="468" ht="15" customHeight="1">
      <c r="A468" t="inlineStr">
        <is>
          <t>A 13145-2025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45735</v>
      </c>
      <c r="E468" s="1" t="n">
        <v>46218</v>
      </c>
      <c r="F468" t="inlineStr">
        <is>
          <t>VÄSTRA GÖTALANDS LÄN</t>
        </is>
      </c>
      <c r="G468" t="inlineStr">
        <is>
          <t>BENGTSFORS</t>
        </is>
      </c>
      <c r="I468" t="n">
        <v>12.1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s="2" t="inlineStr"/>
    </row>
    <row r="469" ht="15" customHeight="1">
      <c r="A469" t="inlineStr">
        <is>
          <t>A 11918-2024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45376</v>
      </c>
      <c r="E469" s="1" t="n">
        <v>46218</v>
      </c>
      <c r="F469" t="inlineStr">
        <is>
          <t>VÄSTRA GÖTALANDS LÄN</t>
        </is>
      </c>
      <c r="G469" t="inlineStr">
        <is>
          <t>BENGTSFORS</t>
        </is>
      </c>
      <c r="I469" t="n">
        <v>1.6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s="2" t="inlineStr"/>
    </row>
    <row r="470" ht="15" customHeight="1">
      <c r="A470" t="inlineStr">
        <is>
          <t>A 56898-2025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45978</v>
      </c>
      <c r="E470" s="1" t="n">
        <v>46218</v>
      </c>
      <c r="F470" t="inlineStr">
        <is>
          <t>VÄSTRA GÖTALANDS LÄN</t>
        </is>
      </c>
      <c r="G470" t="inlineStr">
        <is>
          <t>BENGTSFORS</t>
        </is>
      </c>
      <c r="I470" t="n">
        <v>0.5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s="2" t="inlineStr"/>
    </row>
    <row r="471" ht="15" customHeight="1">
      <c r="A471" t="inlineStr">
        <is>
          <t>A 28320-2025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45818</v>
      </c>
      <c r="E471" s="1" t="n">
        <v>46218</v>
      </c>
      <c r="F471" t="inlineStr">
        <is>
          <t>VÄSTRA GÖTALANDS LÄN</t>
        </is>
      </c>
      <c r="G471" t="inlineStr">
        <is>
          <t>BENGTSFORS</t>
        </is>
      </c>
      <c r="I471" t="n">
        <v>2.1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s="2" t="inlineStr"/>
    </row>
    <row r="472" ht="15" customHeight="1">
      <c r="A472" t="inlineStr">
        <is>
          <t>A 65763-2021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44516</v>
      </c>
      <c r="E472" s="1" t="n">
        <v>46218</v>
      </c>
      <c r="F472" t="inlineStr">
        <is>
          <t>VÄSTRA GÖTALANDS LÄN</t>
        </is>
      </c>
      <c r="G472" t="inlineStr">
        <is>
          <t>BENGTSFORS</t>
        </is>
      </c>
      <c r="I472" t="n">
        <v>8.6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s="2" t="inlineStr"/>
    </row>
    <row r="473" ht="15" customHeight="1">
      <c r="A473" t="inlineStr">
        <is>
          <t>A 2378-2024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45310</v>
      </c>
      <c r="E473" s="1" t="n">
        <v>46218</v>
      </c>
      <c r="F473" t="inlineStr">
        <is>
          <t>VÄSTRA GÖTALANDS LÄN</t>
        </is>
      </c>
      <c r="G473" t="inlineStr">
        <is>
          <t>BENGTSFORS</t>
        </is>
      </c>
      <c r="I473" t="n">
        <v>3.9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s="2" t="inlineStr"/>
    </row>
    <row r="474" ht="15" customHeight="1">
      <c r="A474" t="inlineStr">
        <is>
          <t>A 11265-2022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44629</v>
      </c>
      <c r="E474" s="1" t="n">
        <v>46218</v>
      </c>
      <c r="F474" t="inlineStr">
        <is>
          <t>VÄSTRA GÖTALANDS LÄN</t>
        </is>
      </c>
      <c r="G474" t="inlineStr">
        <is>
          <t>BENGTSFORS</t>
        </is>
      </c>
      <c r="I474" t="n">
        <v>1.7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s="2" t="inlineStr"/>
    </row>
    <row r="475" ht="15" customHeight="1">
      <c r="A475" t="inlineStr">
        <is>
          <t>A 13830-2023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45007</v>
      </c>
      <c r="E475" s="1" t="n">
        <v>46218</v>
      </c>
      <c r="F475" t="inlineStr">
        <is>
          <t>VÄSTRA GÖTALANDS LÄN</t>
        </is>
      </c>
      <c r="G475" t="inlineStr">
        <is>
          <t>BENGTSFORS</t>
        </is>
      </c>
      <c r="I475" t="n">
        <v>3.4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s="2" t="inlineStr"/>
    </row>
    <row r="476" ht="15" customHeight="1">
      <c r="A476" t="inlineStr">
        <is>
          <t>A 13843-2023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45007</v>
      </c>
      <c r="E476" s="1" t="n">
        <v>46218</v>
      </c>
      <c r="F476" t="inlineStr">
        <is>
          <t>VÄSTRA GÖTALANDS LÄN</t>
        </is>
      </c>
      <c r="G476" t="inlineStr">
        <is>
          <t>BENGTSFORS</t>
        </is>
      </c>
      <c r="I476" t="n">
        <v>1.8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s="2" t="inlineStr"/>
    </row>
    <row r="477" ht="15" customHeight="1">
      <c r="A477" t="inlineStr">
        <is>
          <t>A 57638-2025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45981</v>
      </c>
      <c r="E477" s="1" t="n">
        <v>46218</v>
      </c>
      <c r="F477" t="inlineStr">
        <is>
          <t>VÄSTRA GÖTALANDS LÄN</t>
        </is>
      </c>
      <c r="G477" t="inlineStr">
        <is>
          <t>BENGTSFORS</t>
        </is>
      </c>
      <c r="H477" t="inlineStr">
        <is>
          <t>Övriga Aktiebolag</t>
        </is>
      </c>
      <c r="I477" t="n">
        <v>1.2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s="2" t="inlineStr"/>
    </row>
    <row r="478" ht="15" customHeight="1">
      <c r="A478" t="inlineStr">
        <is>
          <t>A 57885-2025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45981</v>
      </c>
      <c r="E478" s="1" t="n">
        <v>46218</v>
      </c>
      <c r="F478" t="inlineStr">
        <is>
          <t>VÄSTRA GÖTALANDS LÄN</t>
        </is>
      </c>
      <c r="G478" t="inlineStr">
        <is>
          <t>BENGTSFORS</t>
        </is>
      </c>
      <c r="I478" t="n">
        <v>5.4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s="2" t="inlineStr"/>
    </row>
    <row r="479" ht="15" customHeight="1">
      <c r="A479" t="inlineStr">
        <is>
          <t>A 57365-2025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45980</v>
      </c>
      <c r="E479" s="1" t="n">
        <v>46218</v>
      </c>
      <c r="F479" t="inlineStr">
        <is>
          <t>VÄSTRA GÖTALANDS LÄN</t>
        </is>
      </c>
      <c r="G479" t="inlineStr">
        <is>
          <t>BENGTSFORS</t>
        </is>
      </c>
      <c r="I479" t="n">
        <v>8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s="2" t="inlineStr"/>
    </row>
    <row r="480" ht="15" customHeight="1">
      <c r="A480" t="inlineStr">
        <is>
          <t>A 28304-2025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45818</v>
      </c>
      <c r="E480" s="1" t="n">
        <v>46218</v>
      </c>
      <c r="F480" t="inlineStr">
        <is>
          <t>VÄSTRA GÖTALANDS LÄN</t>
        </is>
      </c>
      <c r="G480" t="inlineStr">
        <is>
          <t>BENGTSFORS</t>
        </is>
      </c>
      <c r="I480" t="n">
        <v>2.2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s="2" t="inlineStr"/>
    </row>
    <row r="481" ht="15" customHeight="1">
      <c r="A481" t="inlineStr">
        <is>
          <t>A 57538-2025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45980</v>
      </c>
      <c r="E481" s="1" t="n">
        <v>46218</v>
      </c>
      <c r="F481" t="inlineStr">
        <is>
          <t>VÄSTRA GÖTALANDS LÄN</t>
        </is>
      </c>
      <c r="G481" t="inlineStr">
        <is>
          <t>BENGTSFORS</t>
        </is>
      </c>
      <c r="I481" t="n">
        <v>13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s="2" t="inlineStr"/>
    </row>
    <row r="482" ht="15" customHeight="1">
      <c r="A482" t="inlineStr">
        <is>
          <t>A 53971-2024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45615</v>
      </c>
      <c r="E482" s="1" t="n">
        <v>46218</v>
      </c>
      <c r="F482" t="inlineStr">
        <is>
          <t>VÄSTRA GÖTALANDS LÄN</t>
        </is>
      </c>
      <c r="G482" t="inlineStr">
        <is>
          <t>BENGTSFORS</t>
        </is>
      </c>
      <c r="I482" t="n">
        <v>0.9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s="2" t="inlineStr"/>
    </row>
    <row r="483" ht="15" customHeight="1">
      <c r="A483" t="inlineStr">
        <is>
          <t>A 57637-2025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45981</v>
      </c>
      <c r="E483" s="1" t="n">
        <v>46218</v>
      </c>
      <c r="F483" t="inlineStr">
        <is>
          <t>VÄSTRA GÖTALANDS LÄN</t>
        </is>
      </c>
      <c r="G483" t="inlineStr">
        <is>
          <t>BENGTSFORS</t>
        </is>
      </c>
      <c r="H483" t="inlineStr">
        <is>
          <t>Övriga Aktiebolag</t>
        </is>
      </c>
      <c r="I483" t="n">
        <v>1.3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s="2" t="inlineStr"/>
    </row>
    <row r="484" ht="15" customHeight="1">
      <c r="A484" t="inlineStr">
        <is>
          <t>A 40915-2024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45558</v>
      </c>
      <c r="E484" s="1" t="n">
        <v>46218</v>
      </c>
      <c r="F484" t="inlineStr">
        <is>
          <t>VÄSTRA GÖTALANDS LÄN</t>
        </is>
      </c>
      <c r="G484" t="inlineStr">
        <is>
          <t>BENGTSFORS</t>
        </is>
      </c>
      <c r="I484" t="n">
        <v>4.5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s="2" t="inlineStr"/>
    </row>
    <row r="485" ht="15" customHeight="1">
      <c r="A485" t="inlineStr">
        <is>
          <t>A 9356-2024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45359</v>
      </c>
      <c r="E485" s="1" t="n">
        <v>46218</v>
      </c>
      <c r="F485" t="inlineStr">
        <is>
          <t>VÄSTRA GÖTALANDS LÄN</t>
        </is>
      </c>
      <c r="G485" t="inlineStr">
        <is>
          <t>BENGTSFORS</t>
        </is>
      </c>
      <c r="I485" t="n">
        <v>0.6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s="2" t="inlineStr"/>
    </row>
    <row r="486" ht="15" customHeight="1">
      <c r="A486" t="inlineStr">
        <is>
          <t>A 41314-2022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44826</v>
      </c>
      <c r="E486" s="1" t="n">
        <v>46218</v>
      </c>
      <c r="F486" t="inlineStr">
        <is>
          <t>VÄSTRA GÖTALANDS LÄN</t>
        </is>
      </c>
      <c r="G486" t="inlineStr">
        <is>
          <t>BENGTSFORS</t>
        </is>
      </c>
      <c r="I486" t="n">
        <v>1.1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s="2" t="inlineStr"/>
    </row>
    <row r="487" ht="15" customHeight="1">
      <c r="A487" t="inlineStr">
        <is>
          <t>A 57882-2025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45981</v>
      </c>
      <c r="E487" s="1" t="n">
        <v>46218</v>
      </c>
      <c r="F487" t="inlineStr">
        <is>
          <t>VÄSTRA GÖTALANDS LÄN</t>
        </is>
      </c>
      <c r="G487" t="inlineStr">
        <is>
          <t>BENGTSFORS</t>
        </is>
      </c>
      <c r="I487" t="n">
        <v>5.8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s="2" t="inlineStr"/>
    </row>
    <row r="488" ht="15" customHeight="1">
      <c r="A488" t="inlineStr">
        <is>
          <t>A 3308-2024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45317</v>
      </c>
      <c r="E488" s="1" t="n">
        <v>46218</v>
      </c>
      <c r="F488" t="inlineStr">
        <is>
          <t>VÄSTRA GÖTALANDS LÄN</t>
        </is>
      </c>
      <c r="G488" t="inlineStr">
        <is>
          <t>BENGTSFORS</t>
        </is>
      </c>
      <c r="I488" t="n">
        <v>6.7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s="2" t="inlineStr"/>
    </row>
    <row r="489" ht="15" customHeight="1">
      <c r="A489" t="inlineStr">
        <is>
          <t>A 41521-2022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44827</v>
      </c>
      <c r="E489" s="1" t="n">
        <v>46218</v>
      </c>
      <c r="F489" t="inlineStr">
        <is>
          <t>VÄSTRA GÖTALANDS LÄN</t>
        </is>
      </c>
      <c r="G489" t="inlineStr">
        <is>
          <t>BENGTSFORS</t>
        </is>
      </c>
      <c r="I489" t="n">
        <v>2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s="2" t="inlineStr"/>
    </row>
    <row r="490" ht="15" customHeight="1">
      <c r="A490" t="inlineStr">
        <is>
          <t>A 58320-2021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44488</v>
      </c>
      <c r="E490" s="1" t="n">
        <v>46218</v>
      </c>
      <c r="F490" t="inlineStr">
        <is>
          <t>VÄSTRA GÖTALANDS LÄN</t>
        </is>
      </c>
      <c r="G490" t="inlineStr">
        <is>
          <t>BENGTSFORS</t>
        </is>
      </c>
      <c r="I490" t="n">
        <v>8.199999999999999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s="2" t="inlineStr"/>
    </row>
    <row r="491" ht="15" customHeight="1">
      <c r="A491" t="inlineStr">
        <is>
          <t>A 29594-2025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45825</v>
      </c>
      <c r="E491" s="1" t="n">
        <v>46218</v>
      </c>
      <c r="F491" t="inlineStr">
        <is>
          <t>VÄSTRA GÖTALANDS LÄN</t>
        </is>
      </c>
      <c r="G491" t="inlineStr">
        <is>
          <t>BENGTSFORS</t>
        </is>
      </c>
      <c r="I491" t="n">
        <v>2.4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s="2" t="inlineStr"/>
    </row>
    <row r="492" ht="15" customHeight="1">
      <c r="A492" t="inlineStr">
        <is>
          <t>A 1190-2023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44935</v>
      </c>
      <c r="E492" s="1" t="n">
        <v>46218</v>
      </c>
      <c r="F492" t="inlineStr">
        <is>
          <t>VÄSTRA GÖTALANDS LÄN</t>
        </is>
      </c>
      <c r="G492" t="inlineStr">
        <is>
          <t>BENGTSFORS</t>
        </is>
      </c>
      <c r="I492" t="n">
        <v>2.3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s="2" t="inlineStr"/>
    </row>
    <row r="493" ht="15" customHeight="1">
      <c r="A493" t="inlineStr">
        <is>
          <t>A 11885-2024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45376</v>
      </c>
      <c r="E493" s="1" t="n">
        <v>46218</v>
      </c>
      <c r="F493" t="inlineStr">
        <is>
          <t>VÄSTRA GÖTALANDS LÄN</t>
        </is>
      </c>
      <c r="G493" t="inlineStr">
        <is>
          <t>BENGTSFORS</t>
        </is>
      </c>
      <c r="I493" t="n">
        <v>0.8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s="2" t="inlineStr"/>
    </row>
    <row r="494" ht="15" customHeight="1">
      <c r="A494" t="inlineStr">
        <is>
          <t>A 2298-2022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44578</v>
      </c>
      <c r="E494" s="1" t="n">
        <v>46218</v>
      </c>
      <c r="F494" t="inlineStr">
        <is>
          <t>VÄSTRA GÖTALANDS LÄN</t>
        </is>
      </c>
      <c r="G494" t="inlineStr">
        <is>
          <t>BENGTSFORS</t>
        </is>
      </c>
      <c r="I494" t="n">
        <v>1.9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s="2" t="inlineStr"/>
    </row>
    <row r="495" ht="15" customHeight="1">
      <c r="A495" t="inlineStr">
        <is>
          <t>A 58458-2025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45985</v>
      </c>
      <c r="E495" s="1" t="n">
        <v>46218</v>
      </c>
      <c r="F495" t="inlineStr">
        <is>
          <t>VÄSTRA GÖTALANDS LÄN</t>
        </is>
      </c>
      <c r="G495" t="inlineStr">
        <is>
          <t>BENGTSFORS</t>
        </is>
      </c>
      <c r="I495" t="n">
        <v>3.1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s="2" t="inlineStr"/>
    </row>
    <row r="496" ht="15" customHeight="1">
      <c r="A496" t="inlineStr">
        <is>
          <t>A 39241-2025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45889</v>
      </c>
      <c r="E496" s="1" t="n">
        <v>46218</v>
      </c>
      <c r="F496" t="inlineStr">
        <is>
          <t>VÄSTRA GÖTALANDS LÄN</t>
        </is>
      </c>
      <c r="G496" t="inlineStr">
        <is>
          <t>BENGTSFORS</t>
        </is>
      </c>
      <c r="I496" t="n">
        <v>3.6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s="2" t="inlineStr"/>
    </row>
    <row r="497" ht="15" customHeight="1">
      <c r="A497" t="inlineStr">
        <is>
          <t>A 30069-2025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45826</v>
      </c>
      <c r="E497" s="1" t="n">
        <v>46218</v>
      </c>
      <c r="F497" t="inlineStr">
        <is>
          <t>VÄSTRA GÖTALANDS LÄN</t>
        </is>
      </c>
      <c r="G497" t="inlineStr">
        <is>
          <t>BENGTSFORS</t>
        </is>
      </c>
      <c r="I497" t="n">
        <v>1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s="2" t="inlineStr"/>
    </row>
    <row r="498" ht="15" customHeight="1">
      <c r="A498" t="inlineStr">
        <is>
          <t>A 59468-2024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45638</v>
      </c>
      <c r="E498" s="1" t="n">
        <v>46218</v>
      </c>
      <c r="F498" t="inlineStr">
        <is>
          <t>VÄSTRA GÖTALANDS LÄN</t>
        </is>
      </c>
      <c r="G498" t="inlineStr">
        <is>
          <t>BENGTSFORS</t>
        </is>
      </c>
      <c r="I498" t="n">
        <v>1.7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s="2" t="inlineStr"/>
    </row>
    <row r="499" ht="15" customHeight="1">
      <c r="A499" t="inlineStr">
        <is>
          <t>A 37341-2024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45540</v>
      </c>
      <c r="E499" s="1" t="n">
        <v>46218</v>
      </c>
      <c r="F499" t="inlineStr">
        <is>
          <t>VÄSTRA GÖTALANDS LÄN</t>
        </is>
      </c>
      <c r="G499" t="inlineStr">
        <is>
          <t>BENGTSFORS</t>
        </is>
      </c>
      <c r="I499" t="n">
        <v>1.8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s="2" t="inlineStr"/>
    </row>
    <row r="500" ht="15" customHeight="1">
      <c r="A500" t="inlineStr">
        <is>
          <t>A 20073-2026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46136</v>
      </c>
      <c r="E500" s="1" t="n">
        <v>46218</v>
      </c>
      <c r="F500" t="inlineStr">
        <is>
          <t>VÄSTRA GÖTALANDS LÄN</t>
        </is>
      </c>
      <c r="G500" t="inlineStr">
        <is>
          <t>BENGTSFORS</t>
        </is>
      </c>
      <c r="I500" t="n">
        <v>0.5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s="2" t="inlineStr"/>
    </row>
    <row r="501" ht="15" customHeight="1">
      <c r="A501" t="inlineStr">
        <is>
          <t>A 45420-2021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44440</v>
      </c>
      <c r="E501" s="1" t="n">
        <v>46218</v>
      </c>
      <c r="F501" t="inlineStr">
        <is>
          <t>VÄSTRA GÖTALANDS LÄN</t>
        </is>
      </c>
      <c r="G501" t="inlineStr">
        <is>
          <t>BENGTSFORS</t>
        </is>
      </c>
      <c r="I501" t="n">
        <v>5.4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s="2" t="inlineStr"/>
    </row>
    <row r="502" ht="15" customHeight="1">
      <c r="A502" t="inlineStr">
        <is>
          <t>A 56544-2025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45975</v>
      </c>
      <c r="E502" s="1" t="n">
        <v>46218</v>
      </c>
      <c r="F502" t="inlineStr">
        <is>
          <t>VÄSTRA GÖTALANDS LÄN</t>
        </is>
      </c>
      <c r="G502" t="inlineStr">
        <is>
          <t>BENGTSFORS</t>
        </is>
      </c>
      <c r="I502" t="n">
        <v>3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s="2" t="inlineStr"/>
    </row>
    <row r="503" ht="15" customHeight="1">
      <c r="A503" t="inlineStr">
        <is>
          <t>A 49778-2021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44453</v>
      </c>
      <c r="E503" s="1" t="n">
        <v>46218</v>
      </c>
      <c r="F503" t="inlineStr">
        <is>
          <t>VÄSTRA GÖTALANDS LÄN</t>
        </is>
      </c>
      <c r="G503" t="inlineStr">
        <is>
          <t>BENGTSFORS</t>
        </is>
      </c>
      <c r="I503" t="n">
        <v>8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s="2" t="inlineStr"/>
    </row>
    <row r="504" ht="15" customHeight="1">
      <c r="A504" t="inlineStr">
        <is>
          <t>A 13665-2022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44648</v>
      </c>
      <c r="E504" s="1" t="n">
        <v>46218</v>
      </c>
      <c r="F504" t="inlineStr">
        <is>
          <t>VÄSTRA GÖTALANDS LÄN</t>
        </is>
      </c>
      <c r="G504" t="inlineStr">
        <is>
          <t>BENGTSFORS</t>
        </is>
      </c>
      <c r="I504" t="n">
        <v>1.1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s="2" t="inlineStr"/>
    </row>
    <row r="505" ht="15" customHeight="1">
      <c r="A505" t="inlineStr">
        <is>
          <t>A 34393-2025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45846</v>
      </c>
      <c r="E505" s="1" t="n">
        <v>46218</v>
      </c>
      <c r="F505" t="inlineStr">
        <is>
          <t>VÄSTRA GÖTALANDS LÄN</t>
        </is>
      </c>
      <c r="G505" t="inlineStr">
        <is>
          <t>BENGTSFORS</t>
        </is>
      </c>
      <c r="I505" t="n">
        <v>1.4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s="2" t="inlineStr"/>
    </row>
    <row r="506" ht="15" customHeight="1">
      <c r="A506" t="inlineStr">
        <is>
          <t>A 29696-2022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44755</v>
      </c>
      <c r="E506" s="1" t="n">
        <v>46218</v>
      </c>
      <c r="F506" t="inlineStr">
        <is>
          <t>VÄSTRA GÖTALANDS LÄN</t>
        </is>
      </c>
      <c r="G506" t="inlineStr">
        <is>
          <t>BENGTSFORS</t>
        </is>
      </c>
      <c r="I506" t="n">
        <v>2.5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s="2" t="inlineStr"/>
    </row>
    <row r="507" ht="15" customHeight="1">
      <c r="A507" t="inlineStr">
        <is>
          <t>A 48965-2025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45937</v>
      </c>
      <c r="E507" s="1" t="n">
        <v>46218</v>
      </c>
      <c r="F507" t="inlineStr">
        <is>
          <t>VÄSTRA GÖTALANDS LÄN</t>
        </is>
      </c>
      <c r="G507" t="inlineStr">
        <is>
          <t>BENGTSFORS</t>
        </is>
      </c>
      <c r="I507" t="n">
        <v>1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s="2" t="inlineStr"/>
    </row>
    <row r="508" ht="15" customHeight="1">
      <c r="A508" t="inlineStr">
        <is>
          <t>A 34129-2024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45524</v>
      </c>
      <c r="E508" s="1" t="n">
        <v>46218</v>
      </c>
      <c r="F508" t="inlineStr">
        <is>
          <t>VÄSTRA GÖTALANDS LÄN</t>
        </is>
      </c>
      <c r="G508" t="inlineStr">
        <is>
          <t>BENGTSFORS</t>
        </is>
      </c>
      <c r="I508" t="n">
        <v>10.6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s="2" t="inlineStr"/>
    </row>
    <row r="509" ht="15" customHeight="1">
      <c r="A509" t="inlineStr">
        <is>
          <t>A 31816-2025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45834</v>
      </c>
      <c r="E509" s="1" t="n">
        <v>46218</v>
      </c>
      <c r="F509" t="inlineStr">
        <is>
          <t>VÄSTRA GÖTALANDS LÄN</t>
        </is>
      </c>
      <c r="G509" t="inlineStr">
        <is>
          <t>BENGTSFORS</t>
        </is>
      </c>
      <c r="I509" t="n">
        <v>1.4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s="2" t="inlineStr"/>
    </row>
    <row r="510" ht="15" customHeight="1">
      <c r="A510" t="inlineStr">
        <is>
          <t>A 26027-2026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46181</v>
      </c>
      <c r="E510" s="1" t="n">
        <v>46218</v>
      </c>
      <c r="F510" t="inlineStr">
        <is>
          <t>VÄSTRA GÖTALANDS LÄN</t>
        </is>
      </c>
      <c r="G510" t="inlineStr">
        <is>
          <t>BENGTSFORS</t>
        </is>
      </c>
      <c r="I510" t="n">
        <v>3.6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s="2" t="inlineStr"/>
    </row>
    <row r="511" ht="15" customHeight="1">
      <c r="A511" t="inlineStr">
        <is>
          <t>A 49154-2023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45210</v>
      </c>
      <c r="E511" s="1" t="n">
        <v>46218</v>
      </c>
      <c r="F511" t="inlineStr">
        <is>
          <t>VÄSTRA GÖTALANDS LÄN</t>
        </is>
      </c>
      <c r="G511" t="inlineStr">
        <is>
          <t>BENGTSFORS</t>
        </is>
      </c>
      <c r="I511" t="n">
        <v>2.5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s="2" t="inlineStr"/>
    </row>
    <row r="512" ht="15" customHeight="1">
      <c r="A512" t="inlineStr">
        <is>
          <t>A 36881-2025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45874</v>
      </c>
      <c r="E512" s="1" t="n">
        <v>46218</v>
      </c>
      <c r="F512" t="inlineStr">
        <is>
          <t>VÄSTRA GÖTALANDS LÄN</t>
        </is>
      </c>
      <c r="G512" t="inlineStr">
        <is>
          <t>BENGTSFORS</t>
        </is>
      </c>
      <c r="I512" t="n">
        <v>2.7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s="2" t="inlineStr"/>
    </row>
    <row r="513" ht="15" customHeight="1">
      <c r="A513" t="inlineStr">
        <is>
          <t>A 24332-2025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45797</v>
      </c>
      <c r="E513" s="1" t="n">
        <v>46218</v>
      </c>
      <c r="F513" t="inlineStr">
        <is>
          <t>VÄSTRA GÖTALANDS LÄN</t>
        </is>
      </c>
      <c r="G513" t="inlineStr">
        <is>
          <t>BENGTSFORS</t>
        </is>
      </c>
      <c r="I513" t="n">
        <v>1.5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s="2" t="inlineStr"/>
    </row>
    <row r="514" ht="15" customHeight="1">
      <c r="A514" t="inlineStr">
        <is>
          <t>A 55998-2022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44889</v>
      </c>
      <c r="E514" s="1" t="n">
        <v>46218</v>
      </c>
      <c r="F514" t="inlineStr">
        <is>
          <t>VÄSTRA GÖTALANDS LÄN</t>
        </is>
      </c>
      <c r="G514" t="inlineStr">
        <is>
          <t>BENGTSFORS</t>
        </is>
      </c>
      <c r="I514" t="n">
        <v>1.6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s="2" t="inlineStr"/>
    </row>
    <row r="515" ht="15" customHeight="1">
      <c r="A515" t="inlineStr">
        <is>
          <t>A 55882-2021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44476</v>
      </c>
      <c r="E515" s="1" t="n">
        <v>46218</v>
      </c>
      <c r="F515" t="inlineStr">
        <is>
          <t>VÄSTRA GÖTALANDS LÄN</t>
        </is>
      </c>
      <c r="G515" t="inlineStr">
        <is>
          <t>BENGTSFORS</t>
        </is>
      </c>
      <c r="I515" t="n">
        <v>3.2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s="2" t="inlineStr"/>
    </row>
    <row r="516" ht="15" customHeight="1">
      <c r="A516" t="inlineStr">
        <is>
          <t>A 21552-2022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44706</v>
      </c>
      <c r="E516" s="1" t="n">
        <v>46218</v>
      </c>
      <c r="F516" t="inlineStr">
        <is>
          <t>VÄSTRA GÖTALANDS LÄN</t>
        </is>
      </c>
      <c r="G516" t="inlineStr">
        <is>
          <t>BENGTSFORS</t>
        </is>
      </c>
      <c r="I516" t="n">
        <v>0.8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s="2" t="inlineStr"/>
    </row>
    <row r="517" ht="15" customHeight="1">
      <c r="A517" t="inlineStr">
        <is>
          <t>A 44654-2025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45917</v>
      </c>
      <c r="E517" s="1" t="n">
        <v>46218</v>
      </c>
      <c r="F517" t="inlineStr">
        <is>
          <t>VÄSTRA GÖTALANDS LÄN</t>
        </is>
      </c>
      <c r="G517" t="inlineStr">
        <is>
          <t>BENGTSFORS</t>
        </is>
      </c>
      <c r="I517" t="n">
        <v>0.9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s="2" t="inlineStr"/>
    </row>
    <row r="518" ht="15" customHeight="1">
      <c r="A518" t="inlineStr">
        <is>
          <t>A 25937-2025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45804</v>
      </c>
      <c r="E518" s="1" t="n">
        <v>46218</v>
      </c>
      <c r="F518" t="inlineStr">
        <is>
          <t>VÄSTRA GÖTALANDS LÄN</t>
        </is>
      </c>
      <c r="G518" t="inlineStr">
        <is>
          <t>BENGTSFORS</t>
        </is>
      </c>
      <c r="I518" t="n">
        <v>1.1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s="2" t="inlineStr"/>
    </row>
    <row r="519" ht="15" customHeight="1">
      <c r="A519" t="inlineStr">
        <is>
          <t>A 29470-2025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45824</v>
      </c>
      <c r="E519" s="1" t="n">
        <v>46218</v>
      </c>
      <c r="F519" t="inlineStr">
        <is>
          <t>VÄSTRA GÖTALANDS LÄN</t>
        </is>
      </c>
      <c r="G519" t="inlineStr">
        <is>
          <t>BENGTSFORS</t>
        </is>
      </c>
      <c r="I519" t="n">
        <v>3.1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s="2" t="inlineStr"/>
    </row>
    <row r="520" ht="15" customHeight="1">
      <c r="A520" t="inlineStr">
        <is>
          <t>A 8797-2025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45712</v>
      </c>
      <c r="E520" s="1" t="n">
        <v>46218</v>
      </c>
      <c r="F520" t="inlineStr">
        <is>
          <t>VÄSTRA GÖTALANDS LÄN</t>
        </is>
      </c>
      <c r="G520" t="inlineStr">
        <is>
          <t>BENGTSFORS</t>
        </is>
      </c>
      <c r="I520" t="n">
        <v>2.6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s="2" t="inlineStr"/>
    </row>
    <row r="521" ht="15" customHeight="1">
      <c r="A521" t="inlineStr">
        <is>
          <t>A 46723-2022</t>
        </is>
      </c>
      <c r="B521" t="inlineStr">
        <is>
          <t>avverkningsanmälan</t>
        </is>
      </c>
      <c r="C521" t="inlineStr">
        <is>
          <t>Avverkning för annat ändamål</t>
        </is>
      </c>
      <c r="D521" s="1" t="n">
        <v>44851</v>
      </c>
      <c r="E521" s="1" t="n">
        <v>46218</v>
      </c>
      <c r="F521" t="inlineStr">
        <is>
          <t>VÄSTRA GÖTALANDS LÄN</t>
        </is>
      </c>
      <c r="G521" t="inlineStr">
        <is>
          <t>BENGTSFORS</t>
        </is>
      </c>
      <c r="I521" t="n">
        <v>6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s="2" t="inlineStr"/>
    </row>
    <row r="522" ht="15" customHeight="1">
      <c r="A522" t="inlineStr">
        <is>
          <t>A 67916-2021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44525</v>
      </c>
      <c r="E522" s="1" t="n">
        <v>46218</v>
      </c>
      <c r="F522" t="inlineStr">
        <is>
          <t>VÄSTRA GÖTALANDS LÄN</t>
        </is>
      </c>
      <c r="G522" t="inlineStr">
        <is>
          <t>BENGTSFORS</t>
        </is>
      </c>
      <c r="I522" t="n">
        <v>1.2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s="2" t="inlineStr"/>
    </row>
    <row r="523" ht="15" customHeight="1">
      <c r="A523" t="inlineStr">
        <is>
          <t>A 62150-2025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46006</v>
      </c>
      <c r="E523" s="1" t="n">
        <v>46218</v>
      </c>
      <c r="F523" t="inlineStr">
        <is>
          <t>VÄSTRA GÖTALANDS LÄN</t>
        </is>
      </c>
      <c r="G523" t="inlineStr">
        <is>
          <t>BENGTSFORS</t>
        </is>
      </c>
      <c r="I523" t="n">
        <v>7.5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s="2" t="inlineStr"/>
    </row>
    <row r="524" ht="15" customHeight="1">
      <c r="A524" t="inlineStr">
        <is>
          <t>A 12799-2022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44642</v>
      </c>
      <c r="E524" s="1" t="n">
        <v>46218</v>
      </c>
      <c r="F524" t="inlineStr">
        <is>
          <t>VÄSTRA GÖTALANDS LÄN</t>
        </is>
      </c>
      <c r="G524" t="inlineStr">
        <is>
          <t>BENGTSFORS</t>
        </is>
      </c>
      <c r="I524" t="n">
        <v>5.4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s="2" t="inlineStr"/>
    </row>
    <row r="525" ht="15" customHeight="1">
      <c r="A525" t="inlineStr">
        <is>
          <t>A 44653-2025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45917</v>
      </c>
      <c r="E525" s="1" t="n">
        <v>46218</v>
      </c>
      <c r="F525" t="inlineStr">
        <is>
          <t>VÄSTRA GÖTALANDS LÄN</t>
        </is>
      </c>
      <c r="G525" t="inlineStr">
        <is>
          <t>BENGTSFORS</t>
        </is>
      </c>
      <c r="I525" t="n">
        <v>0.9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s="2" t="inlineStr"/>
    </row>
    <row r="526" ht="15" customHeight="1">
      <c r="A526" t="inlineStr">
        <is>
          <t>A 59283-2025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45988</v>
      </c>
      <c r="E526" s="1" t="n">
        <v>46218</v>
      </c>
      <c r="F526" t="inlineStr">
        <is>
          <t>VÄSTRA GÖTALANDS LÄN</t>
        </is>
      </c>
      <c r="G526" t="inlineStr">
        <is>
          <t>BENGTSFORS</t>
        </is>
      </c>
      <c r="I526" t="n">
        <v>3.4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s="2" t="inlineStr"/>
    </row>
    <row r="527" ht="15" customHeight="1">
      <c r="A527" t="inlineStr">
        <is>
          <t>A 20526-2025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45775</v>
      </c>
      <c r="E527" s="1" t="n">
        <v>46218</v>
      </c>
      <c r="F527" t="inlineStr">
        <is>
          <t>VÄSTRA GÖTALANDS LÄN</t>
        </is>
      </c>
      <c r="G527" t="inlineStr">
        <is>
          <t>BENGTSFORS</t>
        </is>
      </c>
      <c r="I527" t="n">
        <v>2.7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s="2" t="inlineStr"/>
    </row>
    <row r="528" ht="15" customHeight="1">
      <c r="A528" t="inlineStr">
        <is>
          <t>A 55918-2024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45623</v>
      </c>
      <c r="E528" s="1" t="n">
        <v>46218</v>
      </c>
      <c r="F528" t="inlineStr">
        <is>
          <t>VÄSTRA GÖTALANDS LÄN</t>
        </is>
      </c>
      <c r="G528" t="inlineStr">
        <is>
          <t>BENGTSFORS</t>
        </is>
      </c>
      <c r="I528" t="n">
        <v>1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s="2" t="inlineStr"/>
    </row>
    <row r="529" ht="15" customHeight="1">
      <c r="A529" t="inlineStr">
        <is>
          <t>A 10335-2024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45365</v>
      </c>
      <c r="E529" s="1" t="n">
        <v>46218</v>
      </c>
      <c r="F529" t="inlineStr">
        <is>
          <t>VÄSTRA GÖTALANDS LÄN</t>
        </is>
      </c>
      <c r="G529" t="inlineStr">
        <is>
          <t>BENGTSFORS</t>
        </is>
      </c>
      <c r="I529" t="n">
        <v>0.3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s="2" t="inlineStr"/>
    </row>
    <row r="530" ht="15" customHeight="1">
      <c r="A530" t="inlineStr">
        <is>
          <t>A 53730-2025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45960</v>
      </c>
      <c r="E530" s="1" t="n">
        <v>46218</v>
      </c>
      <c r="F530" t="inlineStr">
        <is>
          <t>VÄSTRA GÖTALANDS LÄN</t>
        </is>
      </c>
      <c r="G530" t="inlineStr">
        <is>
          <t>BENGTSFORS</t>
        </is>
      </c>
      <c r="I530" t="n">
        <v>3.9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s="2" t="inlineStr"/>
    </row>
    <row r="531" ht="15" customHeight="1">
      <c r="A531" t="inlineStr">
        <is>
          <t>A 47853-2025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45932</v>
      </c>
      <c r="E531" s="1" t="n">
        <v>46218</v>
      </c>
      <c r="F531" t="inlineStr">
        <is>
          <t>VÄSTRA GÖTALANDS LÄN</t>
        </is>
      </c>
      <c r="G531" t="inlineStr">
        <is>
          <t>BENGTSFORS</t>
        </is>
      </c>
      <c r="I531" t="n">
        <v>3.8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s="2" t="inlineStr"/>
    </row>
    <row r="532" ht="15" customHeight="1">
      <c r="A532" t="inlineStr">
        <is>
          <t>A 14757-2025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45742</v>
      </c>
      <c r="E532" s="1" t="n">
        <v>46218</v>
      </c>
      <c r="F532" t="inlineStr">
        <is>
          <t>VÄSTRA GÖTALANDS LÄN</t>
        </is>
      </c>
      <c r="G532" t="inlineStr">
        <is>
          <t>BENGTSFORS</t>
        </is>
      </c>
      <c r="I532" t="n">
        <v>1.6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s="2" t="inlineStr"/>
    </row>
    <row r="533" ht="15" customHeight="1">
      <c r="A533" t="inlineStr">
        <is>
          <t>A 44087-2024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45572</v>
      </c>
      <c r="E533" s="1" t="n">
        <v>46218</v>
      </c>
      <c r="F533" t="inlineStr">
        <is>
          <t>VÄSTRA GÖTALANDS LÄN</t>
        </is>
      </c>
      <c r="G533" t="inlineStr">
        <is>
          <t>BENGTSFORS</t>
        </is>
      </c>
      <c r="I533" t="n">
        <v>2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s="2" t="inlineStr"/>
    </row>
    <row r="534" ht="15" customHeight="1">
      <c r="A534" t="inlineStr">
        <is>
          <t>A 61047-2024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45645</v>
      </c>
      <c r="E534" s="1" t="n">
        <v>46218</v>
      </c>
      <c r="F534" t="inlineStr">
        <is>
          <t>VÄSTRA GÖTALANDS LÄN</t>
        </is>
      </c>
      <c r="G534" t="inlineStr">
        <is>
          <t>BENGTSFORS</t>
        </is>
      </c>
      <c r="I534" t="n">
        <v>3.3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s="2" t="inlineStr"/>
    </row>
    <row r="535" ht="15" customHeight="1">
      <c r="A535" t="inlineStr">
        <is>
          <t>A 35815-2025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45861</v>
      </c>
      <c r="E535" s="1" t="n">
        <v>46218</v>
      </c>
      <c r="F535" t="inlineStr">
        <is>
          <t>VÄSTRA GÖTALANDS LÄN</t>
        </is>
      </c>
      <c r="G535" t="inlineStr">
        <is>
          <t>BENGTSFORS</t>
        </is>
      </c>
      <c r="I535" t="n">
        <v>3.6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s="2" t="inlineStr"/>
    </row>
    <row r="536" ht="15" customHeight="1">
      <c r="A536" t="inlineStr">
        <is>
          <t>A 59615-2022</t>
        </is>
      </c>
      <c r="B536" t="inlineStr">
        <is>
          <t>avverkningsanmälan</t>
        </is>
      </c>
      <c r="C536" t="inlineStr">
        <is>
          <t>Avverkning för annat ändamål</t>
        </is>
      </c>
      <c r="D536" s="1" t="n">
        <v>44907</v>
      </c>
      <c r="E536" s="1" t="n">
        <v>46218</v>
      </c>
      <c r="F536" t="inlineStr">
        <is>
          <t>VÄSTRA GÖTALANDS LÄN</t>
        </is>
      </c>
      <c r="G536" t="inlineStr">
        <is>
          <t>BENGTSFORS</t>
        </is>
      </c>
      <c r="I536" t="n">
        <v>1.3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s="2" t="inlineStr"/>
    </row>
    <row r="537" ht="15" customHeight="1">
      <c r="A537" t="inlineStr">
        <is>
          <t>A 59132-2025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45988</v>
      </c>
      <c r="E537" s="1" t="n">
        <v>46218</v>
      </c>
      <c r="F537" t="inlineStr">
        <is>
          <t>VÄSTRA GÖTALANDS LÄN</t>
        </is>
      </c>
      <c r="G537" t="inlineStr">
        <is>
          <t>BENGTSFORS</t>
        </is>
      </c>
      <c r="H537" t="inlineStr">
        <is>
          <t>Kyrkan</t>
        </is>
      </c>
      <c r="I537" t="n">
        <v>4.5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s="2" t="inlineStr"/>
    </row>
    <row r="538" ht="15" customHeight="1">
      <c r="A538" t="inlineStr">
        <is>
          <t>A 555-2025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45664</v>
      </c>
      <c r="E538" s="1" t="n">
        <v>46218</v>
      </c>
      <c r="F538" t="inlineStr">
        <is>
          <t>VÄSTRA GÖTALANDS LÄN</t>
        </is>
      </c>
      <c r="G538" t="inlineStr">
        <is>
          <t>BENGTSFORS</t>
        </is>
      </c>
      <c r="I538" t="n">
        <v>1.8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s="2" t="inlineStr"/>
    </row>
    <row r="539" ht="15" customHeight="1">
      <c r="A539" t="inlineStr">
        <is>
          <t>A 55968-2024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45623</v>
      </c>
      <c r="E539" s="1" t="n">
        <v>46218</v>
      </c>
      <c r="F539" t="inlineStr">
        <is>
          <t>VÄSTRA GÖTALANDS LÄN</t>
        </is>
      </c>
      <c r="G539" t="inlineStr">
        <is>
          <t>BENGTSFORS</t>
        </is>
      </c>
      <c r="I539" t="n">
        <v>1.1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s="2" t="inlineStr"/>
    </row>
    <row r="540" ht="15" customHeight="1">
      <c r="A540" t="inlineStr">
        <is>
          <t>A 22200-2025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45785</v>
      </c>
      <c r="E540" s="1" t="n">
        <v>46218</v>
      </c>
      <c r="F540" t="inlineStr">
        <is>
          <t>VÄSTRA GÖTALANDS LÄN</t>
        </is>
      </c>
      <c r="G540" t="inlineStr">
        <is>
          <t>BENGTSFORS</t>
        </is>
      </c>
      <c r="I540" t="n">
        <v>1.9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s="2" t="inlineStr"/>
    </row>
    <row r="541" ht="15" customHeight="1">
      <c r="A541" t="inlineStr">
        <is>
          <t>A 36219-2025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45867</v>
      </c>
      <c r="E541" s="1" t="n">
        <v>46218</v>
      </c>
      <c r="F541" t="inlineStr">
        <is>
          <t>VÄSTRA GÖTALANDS LÄN</t>
        </is>
      </c>
      <c r="G541" t="inlineStr">
        <is>
          <t>BENGTSFORS</t>
        </is>
      </c>
      <c r="I541" t="n">
        <v>5.3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s="2" t="inlineStr"/>
    </row>
    <row r="542" ht="15" customHeight="1">
      <c r="A542" t="inlineStr">
        <is>
          <t>A 59637-2025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45992</v>
      </c>
      <c r="E542" s="1" t="n">
        <v>46218</v>
      </c>
      <c r="F542" t="inlineStr">
        <is>
          <t>VÄSTRA GÖTALANDS LÄN</t>
        </is>
      </c>
      <c r="G542" t="inlineStr">
        <is>
          <t>BENGTSFORS</t>
        </is>
      </c>
      <c r="I542" t="n">
        <v>6.7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s="2" t="inlineStr"/>
    </row>
    <row r="543" ht="15" customHeight="1">
      <c r="A543" t="inlineStr">
        <is>
          <t>A 59664-2025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45992</v>
      </c>
      <c r="E543" s="1" t="n">
        <v>46218</v>
      </c>
      <c r="F543" t="inlineStr">
        <is>
          <t>VÄSTRA GÖTALANDS LÄN</t>
        </is>
      </c>
      <c r="G543" t="inlineStr">
        <is>
          <t>BENGTSFORS</t>
        </is>
      </c>
      <c r="I543" t="n">
        <v>1.5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s="2" t="inlineStr"/>
    </row>
    <row r="544" ht="15" customHeight="1">
      <c r="A544" t="inlineStr">
        <is>
          <t>A 59788-2025</t>
        </is>
      </c>
      <c r="B544" t="inlineStr">
        <is>
          <t>avverkningsanmälan</t>
        </is>
      </c>
      <c r="C544" t="inlineStr">
        <is>
          <t>Avverkning för annat ändamål</t>
        </is>
      </c>
      <c r="D544" s="1" t="n">
        <v>45992</v>
      </c>
      <c r="E544" s="1" t="n">
        <v>46218</v>
      </c>
      <c r="F544" t="inlineStr">
        <is>
          <t>VÄSTRA GÖTALANDS LÄN</t>
        </is>
      </c>
      <c r="G544" t="inlineStr">
        <is>
          <t>BENGTSFORS</t>
        </is>
      </c>
      <c r="I544" t="n">
        <v>0.2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s="2" t="inlineStr"/>
    </row>
    <row r="545" ht="15" customHeight="1">
      <c r="A545" t="inlineStr">
        <is>
          <t>A 59792-2025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45992</v>
      </c>
      <c r="E545" s="1" t="n">
        <v>46218</v>
      </c>
      <c r="F545" t="inlineStr">
        <is>
          <t>VÄSTRA GÖTALANDS LÄN</t>
        </is>
      </c>
      <c r="G545" t="inlineStr">
        <is>
          <t>BENGTSFORS</t>
        </is>
      </c>
      <c r="I545" t="n">
        <v>5.5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s="2" t="inlineStr"/>
    </row>
    <row r="546" ht="15" customHeight="1">
      <c r="A546" t="inlineStr">
        <is>
          <t>A 31852-2024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45509</v>
      </c>
      <c r="E546" s="1" t="n">
        <v>46218</v>
      </c>
      <c r="F546" t="inlineStr">
        <is>
          <t>VÄSTRA GÖTALANDS LÄN</t>
        </is>
      </c>
      <c r="G546" t="inlineStr">
        <is>
          <t>BENGTSFORS</t>
        </is>
      </c>
      <c r="I546" t="n">
        <v>1.6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s="2" t="inlineStr"/>
    </row>
    <row r="547" ht="15" customHeight="1">
      <c r="A547" t="inlineStr">
        <is>
          <t>A 61237-2024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45645</v>
      </c>
      <c r="E547" s="1" t="n">
        <v>46218</v>
      </c>
      <c r="F547" t="inlineStr">
        <is>
          <t>VÄSTRA GÖTALANDS LÄN</t>
        </is>
      </c>
      <c r="G547" t="inlineStr">
        <is>
          <t>BENGTSFORS</t>
        </is>
      </c>
      <c r="I547" t="n">
        <v>1.4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s="2" t="inlineStr"/>
    </row>
    <row r="548" ht="15" customHeight="1">
      <c r="A548" t="inlineStr">
        <is>
          <t>A 59784-2025</t>
        </is>
      </c>
      <c r="B548" t="inlineStr">
        <is>
          <t>avverkningsanmälan</t>
        </is>
      </c>
      <c r="C548" t="inlineStr">
        <is>
          <t>Avverkning för annat ändamål</t>
        </is>
      </c>
      <c r="D548" s="1" t="n">
        <v>45992</v>
      </c>
      <c r="E548" s="1" t="n">
        <v>46218</v>
      </c>
      <c r="F548" t="inlineStr">
        <is>
          <t>VÄSTRA GÖTALANDS LÄN</t>
        </is>
      </c>
      <c r="G548" t="inlineStr">
        <is>
          <t>BENGTSFORS</t>
        </is>
      </c>
      <c r="I548" t="n">
        <v>0.6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s="2" t="inlineStr"/>
    </row>
    <row r="549" ht="15" customHeight="1">
      <c r="A549" t="inlineStr">
        <is>
          <t>A 12072-2023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44997</v>
      </c>
      <c r="E549" s="1" t="n">
        <v>46218</v>
      </c>
      <c r="F549" t="inlineStr">
        <is>
          <t>VÄSTRA GÖTALANDS LÄN</t>
        </is>
      </c>
      <c r="G549" t="inlineStr">
        <is>
          <t>BENGTSFORS</t>
        </is>
      </c>
      <c r="I549" t="n">
        <v>2.6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s="2" t="inlineStr"/>
    </row>
    <row r="550" ht="15" customHeight="1">
      <c r="A550" t="inlineStr">
        <is>
          <t>A 26778-2025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45810</v>
      </c>
      <c r="E550" s="1" t="n">
        <v>46218</v>
      </c>
      <c r="F550" t="inlineStr">
        <is>
          <t>VÄSTRA GÖTALANDS LÄN</t>
        </is>
      </c>
      <c r="G550" t="inlineStr">
        <is>
          <t>BENGTSFORS</t>
        </is>
      </c>
      <c r="I550" t="n">
        <v>9.4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s="2" t="inlineStr"/>
    </row>
    <row r="551" ht="15" customHeight="1">
      <c r="A551" t="inlineStr">
        <is>
          <t>A 60329-2025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45994</v>
      </c>
      <c r="E551" s="1" t="n">
        <v>46218</v>
      </c>
      <c r="F551" t="inlineStr">
        <is>
          <t>VÄSTRA GÖTALANDS LÄN</t>
        </is>
      </c>
      <c r="G551" t="inlineStr">
        <is>
          <t>BENGTSFORS</t>
        </is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s="2" t="inlineStr"/>
    </row>
    <row r="552" ht="15" customHeight="1">
      <c r="A552" t="inlineStr">
        <is>
          <t>A 37356-2023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45156</v>
      </c>
      <c r="E552" s="1" t="n">
        <v>46218</v>
      </c>
      <c r="F552" t="inlineStr">
        <is>
          <t>VÄSTRA GÖTALANDS LÄN</t>
        </is>
      </c>
      <c r="G552" t="inlineStr">
        <is>
          <t>BENGTSFORS</t>
        </is>
      </c>
      <c r="I552" t="n">
        <v>1.5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s="2" t="inlineStr"/>
    </row>
    <row r="553" ht="15" customHeight="1">
      <c r="A553" t="inlineStr">
        <is>
          <t>A 37394-2023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45155</v>
      </c>
      <c r="E553" s="1" t="n">
        <v>46218</v>
      </c>
      <c r="F553" t="inlineStr">
        <is>
          <t>VÄSTRA GÖTALANDS LÄN</t>
        </is>
      </c>
      <c r="G553" t="inlineStr">
        <is>
          <t>BENGTSFORS</t>
        </is>
      </c>
      <c r="I553" t="n">
        <v>2.1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s="2" t="inlineStr"/>
    </row>
    <row r="554" ht="15" customHeight="1">
      <c r="A554" t="inlineStr">
        <is>
          <t>A 60540-2025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45995</v>
      </c>
      <c r="E554" s="1" t="n">
        <v>46218</v>
      </c>
      <c r="F554" t="inlineStr">
        <is>
          <t>VÄSTRA GÖTALANDS LÄN</t>
        </is>
      </c>
      <c r="G554" t="inlineStr">
        <is>
          <t>BENGTSFORS</t>
        </is>
      </c>
      <c r="I554" t="n">
        <v>0.8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s="2" t="inlineStr"/>
    </row>
    <row r="555" ht="15" customHeight="1">
      <c r="A555" t="inlineStr">
        <is>
          <t>A 60313-2025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45994</v>
      </c>
      <c r="E555" s="1" t="n">
        <v>46218</v>
      </c>
      <c r="F555" t="inlineStr">
        <is>
          <t>VÄSTRA GÖTALANDS LÄN</t>
        </is>
      </c>
      <c r="G555" t="inlineStr">
        <is>
          <t>BENGTSFORS</t>
        </is>
      </c>
      <c r="I555" t="n">
        <v>0.6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s="2" t="inlineStr"/>
    </row>
    <row r="556" ht="15" customHeight="1">
      <c r="A556" t="inlineStr">
        <is>
          <t>A 59169-2024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45637</v>
      </c>
      <c r="E556" s="1" t="n">
        <v>46218</v>
      </c>
      <c r="F556" t="inlineStr">
        <is>
          <t>VÄSTRA GÖTALANDS LÄN</t>
        </is>
      </c>
      <c r="G556" t="inlineStr">
        <is>
          <t>BENGTSFORS</t>
        </is>
      </c>
      <c r="I556" t="n">
        <v>1.5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s="2" t="inlineStr"/>
    </row>
    <row r="557" ht="15" customHeight="1">
      <c r="A557" t="inlineStr">
        <is>
          <t>A 37646-2025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45880</v>
      </c>
      <c r="E557" s="1" t="n">
        <v>46218</v>
      </c>
      <c r="F557" t="inlineStr">
        <is>
          <t>VÄSTRA GÖTALANDS LÄN</t>
        </is>
      </c>
      <c r="G557" t="inlineStr">
        <is>
          <t>BENGTSFORS</t>
        </is>
      </c>
      <c r="I557" t="n">
        <v>4.9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s="2" t="inlineStr"/>
    </row>
    <row r="558" ht="15" customHeight="1">
      <c r="A558" t="inlineStr">
        <is>
          <t>A 1286-2022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44572</v>
      </c>
      <c r="E558" s="1" t="n">
        <v>46218</v>
      </c>
      <c r="F558" t="inlineStr">
        <is>
          <t>VÄSTRA GÖTALANDS LÄN</t>
        </is>
      </c>
      <c r="G558" t="inlineStr">
        <is>
          <t>BENGTSFORS</t>
        </is>
      </c>
      <c r="I558" t="n">
        <v>3.3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s="2" t="inlineStr"/>
    </row>
    <row r="559" ht="15" customHeight="1">
      <c r="A559" t="inlineStr">
        <is>
          <t>A 1315-2022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44572</v>
      </c>
      <c r="E559" s="1" t="n">
        <v>46218</v>
      </c>
      <c r="F559" t="inlineStr">
        <is>
          <t>VÄSTRA GÖTALANDS LÄN</t>
        </is>
      </c>
      <c r="G559" t="inlineStr">
        <is>
          <t>BENGTSFORS</t>
        </is>
      </c>
      <c r="I559" t="n">
        <v>1.5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s="2" t="inlineStr"/>
    </row>
    <row r="560" ht="15" customHeight="1">
      <c r="A560" t="inlineStr">
        <is>
          <t>A 60744-2025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45999</v>
      </c>
      <c r="E560" s="1" t="n">
        <v>46218</v>
      </c>
      <c r="F560" t="inlineStr">
        <is>
          <t>VÄSTRA GÖTALANDS LÄN</t>
        </is>
      </c>
      <c r="G560" t="inlineStr">
        <is>
          <t>BENGTSFORS</t>
        </is>
      </c>
      <c r="I560" t="n">
        <v>1.4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s="2" t="inlineStr"/>
    </row>
    <row r="561" ht="15" customHeight="1">
      <c r="A561" t="inlineStr">
        <is>
          <t>A 37549-2025</t>
        </is>
      </c>
      <c r="B561" t="inlineStr">
        <is>
          <t>avverkningsanmälan</t>
        </is>
      </c>
      <c r="C561" t="inlineStr">
        <is>
          <t>Avverkning för att bevara och utveckla /försöksver</t>
        </is>
      </c>
      <c r="D561" s="1" t="n">
        <v>45879</v>
      </c>
      <c r="E561" s="1" t="n">
        <v>46218</v>
      </c>
      <c r="F561" t="inlineStr">
        <is>
          <t>VÄSTRA GÖTALANDS LÄN</t>
        </is>
      </c>
      <c r="G561" t="inlineStr">
        <is>
          <t>BENGTSFORS</t>
        </is>
      </c>
      <c r="I561" t="n">
        <v>1.7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s="2" t="inlineStr"/>
    </row>
    <row r="562" ht="15" customHeight="1">
      <c r="A562" t="inlineStr">
        <is>
          <t>A 60600-2025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45996</v>
      </c>
      <c r="E562" s="1" t="n">
        <v>46218</v>
      </c>
      <c r="F562" t="inlineStr">
        <is>
          <t>VÄSTRA GÖTALANDS LÄN</t>
        </is>
      </c>
      <c r="G562" t="inlineStr">
        <is>
          <t>BENGTSFORS</t>
        </is>
      </c>
      <c r="H562" t="inlineStr">
        <is>
          <t>Övriga Aktiebolag</t>
        </is>
      </c>
      <c r="I562" t="n">
        <v>0.9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s="2" t="inlineStr"/>
    </row>
    <row r="563" ht="15" customHeight="1">
      <c r="A563" t="inlineStr">
        <is>
          <t>A 37929-2025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45881</v>
      </c>
      <c r="E563" s="1" t="n">
        <v>46218</v>
      </c>
      <c r="F563" t="inlineStr">
        <is>
          <t>VÄSTRA GÖTALANDS LÄN</t>
        </is>
      </c>
      <c r="G563" t="inlineStr">
        <is>
          <t>BENGTSFORS</t>
        </is>
      </c>
      <c r="I563" t="n">
        <v>1.4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s="2" t="inlineStr"/>
    </row>
    <row r="564" ht="15" customHeight="1">
      <c r="A564" t="inlineStr">
        <is>
          <t>A 60974-2025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45996</v>
      </c>
      <c r="E564" s="1" t="n">
        <v>46218</v>
      </c>
      <c r="F564" t="inlineStr">
        <is>
          <t>VÄSTRA GÖTALANDS LÄN</t>
        </is>
      </c>
      <c r="G564" t="inlineStr">
        <is>
          <t>BENGTSFORS</t>
        </is>
      </c>
      <c r="I564" t="n">
        <v>0.7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s="2" t="inlineStr"/>
    </row>
    <row r="565" ht="15" customHeight="1">
      <c r="A565" t="inlineStr">
        <is>
          <t>A 60747-2025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45999</v>
      </c>
      <c r="E565" s="1" t="n">
        <v>46218</v>
      </c>
      <c r="F565" t="inlineStr">
        <is>
          <t>VÄSTRA GÖTALANDS LÄN</t>
        </is>
      </c>
      <c r="G565" t="inlineStr">
        <is>
          <t>BENGTSFORS</t>
        </is>
      </c>
      <c r="I565" t="n">
        <v>2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s="2" t="inlineStr"/>
    </row>
    <row r="566" ht="15" customHeight="1">
      <c r="A566" t="inlineStr">
        <is>
          <t>A 60751-2025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45999</v>
      </c>
      <c r="E566" s="1" t="n">
        <v>46218</v>
      </c>
      <c r="F566" t="inlineStr">
        <is>
          <t>VÄSTRA GÖTALANDS LÄN</t>
        </is>
      </c>
      <c r="G566" t="inlineStr">
        <is>
          <t>BENGTSFORS</t>
        </is>
      </c>
      <c r="I566" t="n">
        <v>1.8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s="2" t="inlineStr"/>
    </row>
    <row r="567" ht="15" customHeight="1">
      <c r="A567" t="inlineStr">
        <is>
          <t>A 41229-2024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45559</v>
      </c>
      <c r="E567" s="1" t="n">
        <v>46218</v>
      </c>
      <c r="F567" t="inlineStr">
        <is>
          <t>VÄSTRA GÖTALANDS LÄN</t>
        </is>
      </c>
      <c r="G567" t="inlineStr">
        <is>
          <t>BENGTSFORS</t>
        </is>
      </c>
      <c r="I567" t="n">
        <v>1.1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s="2" t="inlineStr"/>
    </row>
    <row r="568" ht="15" customHeight="1">
      <c r="A568" t="inlineStr">
        <is>
          <t>A 60933-2025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45999</v>
      </c>
      <c r="E568" s="1" t="n">
        <v>46218</v>
      </c>
      <c r="F568" t="inlineStr">
        <is>
          <t>VÄSTRA GÖTALANDS LÄN</t>
        </is>
      </c>
      <c r="G568" t="inlineStr">
        <is>
          <t>BENGTSFORS</t>
        </is>
      </c>
      <c r="I568" t="n">
        <v>3.1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s="2" t="inlineStr"/>
    </row>
    <row r="569" ht="15" customHeight="1">
      <c r="A569" t="inlineStr">
        <is>
          <t>A 47212-2023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45202</v>
      </c>
      <c r="E569" s="1" t="n">
        <v>46218</v>
      </c>
      <c r="F569" t="inlineStr">
        <is>
          <t>VÄSTRA GÖTALANDS LÄN</t>
        </is>
      </c>
      <c r="G569" t="inlineStr">
        <is>
          <t>BENGTSFORS</t>
        </is>
      </c>
      <c r="I569" t="n">
        <v>0.7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s="2" t="inlineStr"/>
    </row>
    <row r="570" ht="15" customHeight="1">
      <c r="A570" t="inlineStr">
        <is>
          <t>A 6205-2023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44964</v>
      </c>
      <c r="E570" s="1" t="n">
        <v>46218</v>
      </c>
      <c r="F570" t="inlineStr">
        <is>
          <t>VÄSTRA GÖTALANDS LÄN</t>
        </is>
      </c>
      <c r="G570" t="inlineStr">
        <is>
          <t>BENGTSFORS</t>
        </is>
      </c>
      <c r="I570" t="n">
        <v>2.7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s="2" t="inlineStr"/>
    </row>
    <row r="571" ht="15" customHeight="1">
      <c r="A571" t="inlineStr">
        <is>
          <t>A 28302-2025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45818</v>
      </c>
      <c r="E571" s="1" t="n">
        <v>46218</v>
      </c>
      <c r="F571" t="inlineStr">
        <is>
          <t>VÄSTRA GÖTALANDS LÄN</t>
        </is>
      </c>
      <c r="G571" t="inlineStr">
        <is>
          <t>BENGTSFORS</t>
        </is>
      </c>
      <c r="I571" t="n">
        <v>2.3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s="2" t="inlineStr"/>
    </row>
    <row r="572" ht="15" customHeight="1">
      <c r="A572" t="inlineStr">
        <is>
          <t>A 4279-2025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45685</v>
      </c>
      <c r="E572" s="1" t="n">
        <v>46218</v>
      </c>
      <c r="F572" t="inlineStr">
        <is>
          <t>VÄSTRA GÖTALANDS LÄN</t>
        </is>
      </c>
      <c r="G572" t="inlineStr">
        <is>
          <t>BENGTSFORS</t>
        </is>
      </c>
      <c r="I572" t="n">
        <v>1.2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s="2" t="inlineStr"/>
    </row>
    <row r="573" ht="15" customHeight="1">
      <c r="A573" t="inlineStr">
        <is>
          <t>A 61740-2025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46002</v>
      </c>
      <c r="E573" s="1" t="n">
        <v>46218</v>
      </c>
      <c r="F573" t="inlineStr">
        <is>
          <t>VÄSTRA GÖTALANDS LÄN</t>
        </is>
      </c>
      <c r="G573" t="inlineStr">
        <is>
          <t>BENGTSFORS</t>
        </is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s="2" t="inlineStr"/>
    </row>
    <row r="574" ht="15" customHeight="1">
      <c r="A574" t="inlineStr">
        <is>
          <t>A 14397-2024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45394</v>
      </c>
      <c r="E574" s="1" t="n">
        <v>46218</v>
      </c>
      <c r="F574" t="inlineStr">
        <is>
          <t>VÄSTRA GÖTALANDS LÄN</t>
        </is>
      </c>
      <c r="G574" t="inlineStr">
        <is>
          <t>BENGTSFORS</t>
        </is>
      </c>
      <c r="I574" t="n">
        <v>1.4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s="2" t="inlineStr"/>
    </row>
    <row r="575" ht="15" customHeight="1">
      <c r="A575" t="inlineStr">
        <is>
          <t>A 61974-2025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46003</v>
      </c>
      <c r="E575" s="1" t="n">
        <v>46218</v>
      </c>
      <c r="F575" t="inlineStr">
        <is>
          <t>VÄSTRA GÖTALANDS LÄN</t>
        </is>
      </c>
      <c r="G575" t="inlineStr">
        <is>
          <t>BENGTSFORS</t>
        </is>
      </c>
      <c r="I575" t="n">
        <v>2.1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s="2" t="inlineStr"/>
    </row>
    <row r="576" ht="15" customHeight="1">
      <c r="A576" t="inlineStr">
        <is>
          <t>A 54560-2023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45233</v>
      </c>
      <c r="E576" s="1" t="n">
        <v>46218</v>
      </c>
      <c r="F576" t="inlineStr">
        <is>
          <t>VÄSTRA GÖTALANDS LÄN</t>
        </is>
      </c>
      <c r="G576" t="inlineStr">
        <is>
          <t>BENGTSFORS</t>
        </is>
      </c>
      <c r="I576" t="n">
        <v>0.8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s="2" t="inlineStr"/>
    </row>
    <row r="577" ht="15" customHeight="1">
      <c r="A577" t="inlineStr">
        <is>
          <t>A 61727-2025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46002</v>
      </c>
      <c r="E577" s="1" t="n">
        <v>46218</v>
      </c>
      <c r="F577" t="inlineStr">
        <is>
          <t>VÄSTRA GÖTALANDS LÄN</t>
        </is>
      </c>
      <c r="G577" t="inlineStr">
        <is>
          <t>BENGTSFORS</t>
        </is>
      </c>
      <c r="I577" t="n">
        <v>2.9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s="2" t="inlineStr"/>
    </row>
    <row r="578" ht="15" customHeight="1">
      <c r="A578" t="inlineStr">
        <is>
          <t>A 40511-2025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45896</v>
      </c>
      <c r="E578" s="1" t="n">
        <v>46218</v>
      </c>
      <c r="F578" t="inlineStr">
        <is>
          <t>VÄSTRA GÖTALANDS LÄN</t>
        </is>
      </c>
      <c r="G578" t="inlineStr">
        <is>
          <t>BENGTSFORS</t>
        </is>
      </c>
      <c r="I578" t="n">
        <v>0.6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s="2" t="inlineStr"/>
    </row>
    <row r="579" ht="15" customHeight="1">
      <c r="A579" t="inlineStr">
        <is>
          <t>A 17477-2024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45415</v>
      </c>
      <c r="E579" s="1" t="n">
        <v>46218</v>
      </c>
      <c r="F579" t="inlineStr">
        <is>
          <t>VÄSTRA GÖTALANDS LÄN</t>
        </is>
      </c>
      <c r="G579" t="inlineStr">
        <is>
          <t>BENGTSFORS</t>
        </is>
      </c>
      <c r="I579" t="n">
        <v>0.9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s="2" t="inlineStr"/>
    </row>
    <row r="580" ht="15" customHeight="1">
      <c r="A580" t="inlineStr">
        <is>
          <t>A 56090-2022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44887</v>
      </c>
      <c r="E580" s="1" t="n">
        <v>46218</v>
      </c>
      <c r="F580" t="inlineStr">
        <is>
          <t>VÄSTRA GÖTALANDS LÄN</t>
        </is>
      </c>
      <c r="G580" t="inlineStr">
        <is>
          <t>BENGTSFORS</t>
        </is>
      </c>
      <c r="H580" t="inlineStr">
        <is>
          <t>Kyrkan</t>
        </is>
      </c>
      <c r="I580" t="n">
        <v>12.8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s="2" t="inlineStr"/>
    </row>
    <row r="581" ht="15" customHeight="1">
      <c r="A581" t="inlineStr">
        <is>
          <t>A 53531-2023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45230</v>
      </c>
      <c r="E581" s="1" t="n">
        <v>46218</v>
      </c>
      <c r="F581" t="inlineStr">
        <is>
          <t>VÄSTRA GÖTALANDS LÄN</t>
        </is>
      </c>
      <c r="G581" t="inlineStr">
        <is>
          <t>BENGTSFORS</t>
        </is>
      </c>
      <c r="I581" t="n">
        <v>0.3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s="2" t="inlineStr"/>
    </row>
    <row r="582" ht="15" customHeight="1">
      <c r="A582" t="inlineStr">
        <is>
          <t>A 21455-2026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46146</v>
      </c>
      <c r="E582" s="1" t="n">
        <v>46218</v>
      </c>
      <c r="F582" t="inlineStr">
        <is>
          <t>VÄSTRA GÖTALANDS LÄN</t>
        </is>
      </c>
      <c r="G582" t="inlineStr">
        <is>
          <t>BENGTSFORS</t>
        </is>
      </c>
      <c r="I582" t="n">
        <v>1.6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s="2" t="inlineStr"/>
    </row>
    <row r="583" ht="15" customHeight="1">
      <c r="A583" t="inlineStr">
        <is>
          <t>A 41865-2023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45176</v>
      </c>
      <c r="E583" s="1" t="n">
        <v>46218</v>
      </c>
      <c r="F583" t="inlineStr">
        <is>
          <t>VÄSTRA GÖTALANDS LÄN</t>
        </is>
      </c>
      <c r="G583" t="inlineStr">
        <is>
          <t>BENGTSFORS</t>
        </is>
      </c>
      <c r="I583" t="n">
        <v>1.2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s="2" t="inlineStr"/>
    </row>
    <row r="584" ht="15" customHeight="1">
      <c r="A584" t="inlineStr">
        <is>
          <t>A 27364-2026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46184</v>
      </c>
      <c r="E584" s="1" t="n">
        <v>46218</v>
      </c>
      <c r="F584" t="inlineStr">
        <is>
          <t>VÄSTRA GÖTALANDS LÄN</t>
        </is>
      </c>
      <c r="G584" t="inlineStr">
        <is>
          <t>BENGTSFORS</t>
        </is>
      </c>
      <c r="I584" t="n">
        <v>3.7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s="2" t="inlineStr"/>
    </row>
    <row r="585" ht="15" customHeight="1">
      <c r="A585" t="inlineStr">
        <is>
          <t>A 54476-2022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44876</v>
      </c>
      <c r="E585" s="1" t="n">
        <v>46218</v>
      </c>
      <c r="F585" t="inlineStr">
        <is>
          <t>VÄSTRA GÖTALANDS LÄN</t>
        </is>
      </c>
      <c r="G585" t="inlineStr">
        <is>
          <t>BENGTSFORS</t>
        </is>
      </c>
      <c r="H585" t="inlineStr">
        <is>
          <t>Bergvik skog väst AB</t>
        </is>
      </c>
      <c r="I585" t="n">
        <v>6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s="2" t="inlineStr"/>
    </row>
    <row r="586" ht="15" customHeight="1">
      <c r="A586" t="inlineStr">
        <is>
          <t>A 36426-2023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45151</v>
      </c>
      <c r="E586" s="1" t="n">
        <v>46218</v>
      </c>
      <c r="F586" t="inlineStr">
        <is>
          <t>VÄSTRA GÖTALANDS LÄN</t>
        </is>
      </c>
      <c r="G586" t="inlineStr">
        <is>
          <t>BENGTSFORS</t>
        </is>
      </c>
      <c r="I586" t="n">
        <v>0.5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s="2" t="inlineStr"/>
    </row>
    <row r="587" ht="15" customHeight="1">
      <c r="A587" t="inlineStr">
        <is>
          <t>A 18101-2023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45040</v>
      </c>
      <c r="E587" s="1" t="n">
        <v>46218</v>
      </c>
      <c r="F587" t="inlineStr">
        <is>
          <t>VÄSTRA GÖTALANDS LÄN</t>
        </is>
      </c>
      <c r="G587" t="inlineStr">
        <is>
          <t>BENGTSFORS</t>
        </is>
      </c>
      <c r="I587" t="n">
        <v>2.3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s="2" t="inlineStr"/>
    </row>
    <row r="588" ht="15" customHeight="1">
      <c r="A588" t="inlineStr">
        <is>
          <t>A 27612-2026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46190</v>
      </c>
      <c r="E588" s="1" t="n">
        <v>46218</v>
      </c>
      <c r="F588" t="inlineStr">
        <is>
          <t>VÄSTRA GÖTALANDS LÄN</t>
        </is>
      </c>
      <c r="G588" t="inlineStr">
        <is>
          <t>BENGTSFORS</t>
        </is>
      </c>
      <c r="I588" t="n">
        <v>7.3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s="2" t="inlineStr"/>
    </row>
    <row r="589" ht="15" customHeight="1">
      <c r="A589" t="inlineStr">
        <is>
          <t>A 27865-2026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46191</v>
      </c>
      <c r="E589" s="1" t="n">
        <v>46218</v>
      </c>
      <c r="F589" t="inlineStr">
        <is>
          <t>VÄSTRA GÖTALANDS LÄN</t>
        </is>
      </c>
      <c r="G589" t="inlineStr">
        <is>
          <t>BENGTSFORS</t>
        </is>
      </c>
      <c r="I589" t="n">
        <v>1.6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s="2" t="inlineStr"/>
    </row>
    <row r="590" ht="15" customHeight="1">
      <c r="A590" t="inlineStr">
        <is>
          <t>A 27895-2026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46191</v>
      </c>
      <c r="E590" s="1" t="n">
        <v>46218</v>
      </c>
      <c r="F590" t="inlineStr">
        <is>
          <t>VÄSTRA GÖTALANDS LÄN</t>
        </is>
      </c>
      <c r="G590" t="inlineStr">
        <is>
          <t>BENGTSFORS</t>
        </is>
      </c>
      <c r="I590" t="n">
        <v>1.5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s="2" t="inlineStr"/>
    </row>
    <row r="591" ht="15" customHeight="1">
      <c r="A591" t="inlineStr">
        <is>
          <t>A 11052-2025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45723</v>
      </c>
      <c r="E591" s="1" t="n">
        <v>46218</v>
      </c>
      <c r="F591" t="inlineStr">
        <is>
          <t>VÄSTRA GÖTALANDS LÄN</t>
        </is>
      </c>
      <c r="G591" t="inlineStr">
        <is>
          <t>BENGTSFORS</t>
        </is>
      </c>
      <c r="I591" t="n">
        <v>1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s="2" t="inlineStr"/>
    </row>
    <row r="592" ht="15" customHeight="1">
      <c r="A592" t="inlineStr">
        <is>
          <t>A 63914-2025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46020</v>
      </c>
      <c r="E592" s="1" t="n">
        <v>46218</v>
      </c>
      <c r="F592" t="inlineStr">
        <is>
          <t>VÄSTRA GÖTALANDS LÄN</t>
        </is>
      </c>
      <c r="G592" t="inlineStr">
        <is>
          <t>BENGTSFORS</t>
        </is>
      </c>
      <c r="I592" t="n">
        <v>5.9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s="2" t="inlineStr"/>
    </row>
    <row r="593" ht="15" customHeight="1">
      <c r="A593" t="inlineStr">
        <is>
          <t>A 63919-2025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46020</v>
      </c>
      <c r="E593" s="1" t="n">
        <v>46218</v>
      </c>
      <c r="F593" t="inlineStr">
        <is>
          <t>VÄSTRA GÖTALANDS LÄN</t>
        </is>
      </c>
      <c r="G593" t="inlineStr">
        <is>
          <t>BENGTSFORS</t>
        </is>
      </c>
      <c r="I593" t="n">
        <v>5.9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s="2" t="inlineStr"/>
    </row>
    <row r="594" ht="15" customHeight="1">
      <c r="A594" t="inlineStr">
        <is>
          <t>A 27616-2026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46190</v>
      </c>
      <c r="E594" s="1" t="n">
        <v>46218</v>
      </c>
      <c r="F594" t="inlineStr">
        <is>
          <t>VÄSTRA GÖTALANDS LÄN</t>
        </is>
      </c>
      <c r="G594" t="inlineStr">
        <is>
          <t>BENGTSFORS</t>
        </is>
      </c>
      <c r="I594" t="n">
        <v>3.3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s="2" t="inlineStr"/>
    </row>
    <row r="595" ht="15" customHeight="1">
      <c r="A595" t="inlineStr">
        <is>
          <t>A 27617-2026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46190</v>
      </c>
      <c r="E595" s="1" t="n">
        <v>46218</v>
      </c>
      <c r="F595" t="inlineStr">
        <is>
          <t>VÄSTRA GÖTALANDS LÄN</t>
        </is>
      </c>
      <c r="G595" t="inlineStr">
        <is>
          <t>BENGTSFORS</t>
        </is>
      </c>
      <c r="I595" t="n">
        <v>0.8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s="2" t="inlineStr"/>
    </row>
    <row r="596" ht="15" customHeight="1">
      <c r="A596" t="inlineStr">
        <is>
          <t>A 63917-2025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46020</v>
      </c>
      <c r="E596" s="1" t="n">
        <v>46218</v>
      </c>
      <c r="F596" t="inlineStr">
        <is>
          <t>VÄSTRA GÖTALANDS LÄN</t>
        </is>
      </c>
      <c r="G596" t="inlineStr">
        <is>
          <t>BENGTSFORS</t>
        </is>
      </c>
      <c r="I596" t="n">
        <v>2.8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s="2" t="inlineStr"/>
    </row>
    <row r="597" ht="15" customHeight="1">
      <c r="A597" t="inlineStr">
        <is>
          <t>A 27899-2026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46191</v>
      </c>
      <c r="E597" s="1" t="n">
        <v>46218</v>
      </c>
      <c r="F597" t="inlineStr">
        <is>
          <t>VÄSTRA GÖTALANDS LÄN</t>
        </is>
      </c>
      <c r="G597" t="inlineStr">
        <is>
          <t>BENGTSFORS</t>
        </is>
      </c>
      <c r="I597" t="n">
        <v>0.7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s="2" t="inlineStr"/>
    </row>
    <row r="598" ht="15" customHeight="1">
      <c r="A598" t="inlineStr">
        <is>
          <t>A 50960-2023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45218</v>
      </c>
      <c r="E598" s="1" t="n">
        <v>46218</v>
      </c>
      <c r="F598" t="inlineStr">
        <is>
          <t>VÄSTRA GÖTALANDS LÄN</t>
        </is>
      </c>
      <c r="G598" t="inlineStr">
        <is>
          <t>BENGTSFORS</t>
        </is>
      </c>
      <c r="I598" t="n">
        <v>1.7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s="2" t="inlineStr"/>
    </row>
    <row r="599" ht="15" customHeight="1">
      <c r="A599" t="inlineStr">
        <is>
          <t>A 50610-2022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44866</v>
      </c>
      <c r="E599" s="1" t="n">
        <v>46218</v>
      </c>
      <c r="F599" t="inlineStr">
        <is>
          <t>VÄSTRA GÖTALANDS LÄN</t>
        </is>
      </c>
      <c r="G599" t="inlineStr">
        <is>
          <t>BENGTSFORS</t>
        </is>
      </c>
      <c r="I599" t="n">
        <v>1.7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s="2" t="inlineStr"/>
    </row>
    <row r="600" ht="15" customHeight="1">
      <c r="A600" t="inlineStr">
        <is>
          <t>A 2570-2023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44943</v>
      </c>
      <c r="E600" s="1" t="n">
        <v>46218</v>
      </c>
      <c r="F600" t="inlineStr">
        <is>
          <t>VÄSTRA GÖTALANDS LÄN</t>
        </is>
      </c>
      <c r="G600" t="inlineStr">
        <is>
          <t>BENGTSFORS</t>
        </is>
      </c>
      <c r="I600" t="n">
        <v>2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s="2" t="inlineStr"/>
    </row>
    <row r="601" ht="15" customHeight="1">
      <c r="A601" t="inlineStr">
        <is>
          <t>A 22042-2026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46153</v>
      </c>
      <c r="E601" s="1" t="n">
        <v>46218</v>
      </c>
      <c r="F601" t="inlineStr">
        <is>
          <t>VÄSTRA GÖTALANDS LÄN</t>
        </is>
      </c>
      <c r="G601" t="inlineStr">
        <is>
          <t>BENGTSFORS</t>
        </is>
      </c>
      <c r="I601" t="n">
        <v>2.9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s="2" t="inlineStr"/>
    </row>
    <row r="602" ht="15" customHeight="1">
      <c r="A602" t="inlineStr">
        <is>
          <t>A 61334-2023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45264</v>
      </c>
      <c r="E602" s="1" t="n">
        <v>46218</v>
      </c>
      <c r="F602" t="inlineStr">
        <is>
          <t>VÄSTRA GÖTALANDS LÄN</t>
        </is>
      </c>
      <c r="G602" t="inlineStr">
        <is>
          <t>BENGTSFORS</t>
        </is>
      </c>
      <c r="I602" t="n">
        <v>9.4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s="2" t="inlineStr"/>
    </row>
    <row r="603" ht="15" customHeight="1">
      <c r="A603" t="inlineStr">
        <is>
          <t>A 46764-2023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45195</v>
      </c>
      <c r="E603" s="1" t="n">
        <v>46218</v>
      </c>
      <c r="F603" t="inlineStr">
        <is>
          <t>VÄSTRA GÖTALANDS LÄN</t>
        </is>
      </c>
      <c r="G603" t="inlineStr">
        <is>
          <t>BENGTSFORS</t>
        </is>
      </c>
      <c r="I603" t="n">
        <v>1.6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s="2" t="inlineStr"/>
    </row>
    <row r="604" ht="15" customHeight="1">
      <c r="A604" t="inlineStr">
        <is>
          <t>A 890-2026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46030</v>
      </c>
      <c r="E604" s="1" t="n">
        <v>46218</v>
      </c>
      <c r="F604" t="inlineStr">
        <is>
          <t>VÄSTRA GÖTALANDS LÄN</t>
        </is>
      </c>
      <c r="G604" t="inlineStr">
        <is>
          <t>BENGTSFORS</t>
        </is>
      </c>
      <c r="I604" t="n">
        <v>2.2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s="2" t="inlineStr"/>
    </row>
    <row r="605" ht="15" customHeight="1">
      <c r="A605" t="inlineStr">
        <is>
          <t>A 49772-2023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45212</v>
      </c>
      <c r="E605" s="1" t="n">
        <v>46218</v>
      </c>
      <c r="F605" t="inlineStr">
        <is>
          <t>VÄSTRA GÖTALANDS LÄN</t>
        </is>
      </c>
      <c r="G605" t="inlineStr">
        <is>
          <t>BENGTSFORS</t>
        </is>
      </c>
      <c r="I605" t="n">
        <v>14.5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s="2" t="inlineStr"/>
    </row>
    <row r="606" ht="15" customHeight="1">
      <c r="A606" t="inlineStr">
        <is>
          <t>A 28355-2026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46196</v>
      </c>
      <c r="E606" s="1" t="n">
        <v>46218</v>
      </c>
      <c r="F606" t="inlineStr">
        <is>
          <t>VÄSTRA GÖTALANDS LÄN</t>
        </is>
      </c>
      <c r="G606" t="inlineStr">
        <is>
          <t>BENGTSFORS</t>
        </is>
      </c>
      <c r="I606" t="n">
        <v>3.4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s="2" t="inlineStr"/>
    </row>
    <row r="607" ht="15" customHeight="1">
      <c r="A607" t="inlineStr">
        <is>
          <t>A 6452-2025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45699</v>
      </c>
      <c r="E607" s="1" t="n">
        <v>46218</v>
      </c>
      <c r="F607" t="inlineStr">
        <is>
          <t>VÄSTRA GÖTALANDS LÄN</t>
        </is>
      </c>
      <c r="G607" t="inlineStr">
        <is>
          <t>BENGTSFORS</t>
        </is>
      </c>
      <c r="I607" t="n">
        <v>5.5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s="2" t="inlineStr"/>
    </row>
    <row r="608" ht="15" customHeight="1">
      <c r="A608" t="inlineStr">
        <is>
          <t>A 2182-2026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46036</v>
      </c>
      <c r="E608" s="1" t="n">
        <v>46218</v>
      </c>
      <c r="F608" t="inlineStr">
        <is>
          <t>VÄSTRA GÖTALANDS LÄN</t>
        </is>
      </c>
      <c r="G608" t="inlineStr">
        <is>
          <t>BENGTSFORS</t>
        </is>
      </c>
      <c r="I608" t="n">
        <v>1.6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s="2" t="inlineStr"/>
    </row>
    <row r="609" ht="15" customHeight="1">
      <c r="A609" t="inlineStr">
        <is>
          <t>A 41118-2023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45173</v>
      </c>
      <c r="E609" s="1" t="n">
        <v>46218</v>
      </c>
      <c r="F609" t="inlineStr">
        <is>
          <t>VÄSTRA GÖTALANDS LÄN</t>
        </is>
      </c>
      <c r="G609" t="inlineStr">
        <is>
          <t>BENGTSFORS</t>
        </is>
      </c>
      <c r="I609" t="n">
        <v>1.3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s="2" t="inlineStr"/>
    </row>
    <row r="610" ht="15" customHeight="1">
      <c r="A610" t="inlineStr">
        <is>
          <t>A 1191-2023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44935</v>
      </c>
      <c r="E610" s="1" t="n">
        <v>46218</v>
      </c>
      <c r="F610" t="inlineStr">
        <is>
          <t>VÄSTRA GÖTALANDS LÄN</t>
        </is>
      </c>
      <c r="G610" t="inlineStr">
        <is>
          <t>BENGTSFORS</t>
        </is>
      </c>
      <c r="I610" t="n">
        <v>2.3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s="2" t="inlineStr"/>
    </row>
    <row r="611" ht="15" customHeight="1">
      <c r="A611" t="inlineStr">
        <is>
          <t>A 2177-2026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46036</v>
      </c>
      <c r="E611" s="1" t="n">
        <v>46218</v>
      </c>
      <c r="F611" t="inlineStr">
        <is>
          <t>VÄSTRA GÖTALANDS LÄN</t>
        </is>
      </c>
      <c r="G611" t="inlineStr">
        <is>
          <t>BENGTSFORS</t>
        </is>
      </c>
      <c r="I611" t="n">
        <v>1.1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s="2" t="inlineStr"/>
    </row>
    <row r="612" ht="15" customHeight="1">
      <c r="A612" t="inlineStr">
        <is>
          <t>A 3305-2026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46041</v>
      </c>
      <c r="E612" s="1" t="n">
        <v>46218</v>
      </c>
      <c r="F612" t="inlineStr">
        <is>
          <t>VÄSTRA GÖTALANDS LÄN</t>
        </is>
      </c>
      <c r="G612" t="inlineStr">
        <is>
          <t>BENGTSFORS</t>
        </is>
      </c>
      <c r="H612" t="inlineStr">
        <is>
          <t>Kyrkan</t>
        </is>
      </c>
      <c r="I612" t="n">
        <v>3.8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s="2" t="inlineStr"/>
    </row>
    <row r="613" ht="15" customHeight="1">
      <c r="A613" t="inlineStr">
        <is>
          <t>A 20090-2025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45772</v>
      </c>
      <c r="E613" s="1" t="n">
        <v>46218</v>
      </c>
      <c r="F613" t="inlineStr">
        <is>
          <t>VÄSTRA GÖTALANDS LÄN</t>
        </is>
      </c>
      <c r="G613" t="inlineStr">
        <is>
          <t>BENGTSFORS</t>
        </is>
      </c>
      <c r="I613" t="n">
        <v>1.1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s="2" t="inlineStr"/>
    </row>
    <row r="614" ht="15" customHeight="1">
      <c r="A614" t="inlineStr">
        <is>
          <t>A 10079-2022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44621</v>
      </c>
      <c r="E614" s="1" t="n">
        <v>46218</v>
      </c>
      <c r="F614" t="inlineStr">
        <is>
          <t>VÄSTRA GÖTALANDS LÄN</t>
        </is>
      </c>
      <c r="G614" t="inlineStr">
        <is>
          <t>BENGTSFORS</t>
        </is>
      </c>
      <c r="I614" t="n">
        <v>2.3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s="2" t="inlineStr"/>
    </row>
    <row r="615" ht="15" customHeight="1">
      <c r="A615" t="inlineStr">
        <is>
          <t>A 37199-2022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44806</v>
      </c>
      <c r="E615" s="1" t="n">
        <v>46218</v>
      </c>
      <c r="F615" t="inlineStr">
        <is>
          <t>VÄSTRA GÖTALANDS LÄN</t>
        </is>
      </c>
      <c r="G615" t="inlineStr">
        <is>
          <t>BENGTSFORS</t>
        </is>
      </c>
      <c r="I615" t="n">
        <v>1.1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s="2" t="inlineStr"/>
    </row>
    <row r="616" ht="15" customHeight="1">
      <c r="A616" t="inlineStr">
        <is>
          <t>A 28666-2026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46198</v>
      </c>
      <c r="E616" s="1" t="n">
        <v>46218</v>
      </c>
      <c r="F616" t="inlineStr">
        <is>
          <t>VÄSTRA GÖTALANDS LÄN</t>
        </is>
      </c>
      <c r="G616" t="inlineStr">
        <is>
          <t>BENGTSFORS</t>
        </is>
      </c>
      <c r="I616" t="n">
        <v>3.7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s="2" t="inlineStr"/>
    </row>
    <row r="617" ht="15" customHeight="1">
      <c r="A617" t="inlineStr">
        <is>
          <t>A 28667-2026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46198</v>
      </c>
      <c r="E617" s="1" t="n">
        <v>46218</v>
      </c>
      <c r="F617" t="inlineStr">
        <is>
          <t>VÄSTRA GÖTALANDS LÄN</t>
        </is>
      </c>
      <c r="G617" t="inlineStr">
        <is>
          <t>BENGTSFORS</t>
        </is>
      </c>
      <c r="I617" t="n">
        <v>0.8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s="2" t="inlineStr"/>
    </row>
    <row r="618" ht="15" customHeight="1">
      <c r="A618" t="inlineStr">
        <is>
          <t>A 60491-2021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44496</v>
      </c>
      <c r="E618" s="1" t="n">
        <v>46218</v>
      </c>
      <c r="F618" t="inlineStr">
        <is>
          <t>VÄSTRA GÖTALANDS LÄN</t>
        </is>
      </c>
      <c r="G618" t="inlineStr">
        <is>
          <t>BENGTSFORS</t>
        </is>
      </c>
      <c r="I618" t="n">
        <v>2.7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s="2" t="inlineStr"/>
    </row>
    <row r="619" ht="15" customHeight="1">
      <c r="A619" t="inlineStr">
        <is>
          <t>A 4029-2026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46044</v>
      </c>
      <c r="E619" s="1" t="n">
        <v>46218</v>
      </c>
      <c r="F619" t="inlineStr">
        <is>
          <t>VÄSTRA GÖTALANDS LÄN</t>
        </is>
      </c>
      <c r="G619" t="inlineStr">
        <is>
          <t>BENGTSFORS</t>
        </is>
      </c>
      <c r="H619" t="inlineStr">
        <is>
          <t>Övriga Aktiebolag</t>
        </is>
      </c>
      <c r="I619" t="n">
        <v>12.7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s="2" t="inlineStr"/>
    </row>
    <row r="620" ht="15" customHeight="1">
      <c r="A620" t="inlineStr">
        <is>
          <t>A 4028-2026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46044</v>
      </c>
      <c r="E620" s="1" t="n">
        <v>46218</v>
      </c>
      <c r="F620" t="inlineStr">
        <is>
          <t>VÄSTRA GÖTALANDS LÄN</t>
        </is>
      </c>
      <c r="G620" t="inlineStr">
        <is>
          <t>BENGTSFORS</t>
        </is>
      </c>
      <c r="H620" t="inlineStr">
        <is>
          <t>Övriga Aktiebolag</t>
        </is>
      </c>
      <c r="I620" t="n">
        <v>1.8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s="2" t="inlineStr"/>
    </row>
    <row r="621" ht="15" customHeight="1">
      <c r="A621" t="inlineStr">
        <is>
          <t>A 4030-2026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46044</v>
      </c>
      <c r="E621" s="1" t="n">
        <v>46218</v>
      </c>
      <c r="F621" t="inlineStr">
        <is>
          <t>VÄSTRA GÖTALANDS LÄN</t>
        </is>
      </c>
      <c r="G621" t="inlineStr">
        <is>
          <t>BENGTSFORS</t>
        </is>
      </c>
      <c r="H621" t="inlineStr">
        <is>
          <t>Övriga Aktiebolag</t>
        </is>
      </c>
      <c r="I621" t="n">
        <v>1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s="2" t="inlineStr"/>
    </row>
    <row r="622" ht="15" customHeight="1">
      <c r="A622" t="inlineStr">
        <is>
          <t>A 28653-2026</t>
        </is>
      </c>
      <c r="B622" t="inlineStr">
        <is>
          <t>avverkningsanmälan</t>
        </is>
      </c>
      <c r="C622" t="inlineStr">
        <is>
          <t>Avverkning för annat ändamål</t>
        </is>
      </c>
      <c r="D622" s="1" t="n">
        <v>46198</v>
      </c>
      <c r="E622" s="1" t="n">
        <v>46218</v>
      </c>
      <c r="F622" t="inlineStr">
        <is>
          <t>VÄSTRA GÖTALANDS LÄN</t>
        </is>
      </c>
      <c r="G622" t="inlineStr">
        <is>
          <t>BENGTSFORS</t>
        </is>
      </c>
      <c r="I622" t="n">
        <v>0.2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s="2" t="inlineStr"/>
    </row>
    <row r="623" ht="15" customHeight="1">
      <c r="A623" t="inlineStr">
        <is>
          <t>A 5138-2026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46049</v>
      </c>
      <c r="E623" s="1" t="n">
        <v>46218</v>
      </c>
      <c r="F623" t="inlineStr">
        <is>
          <t>VÄSTRA GÖTALANDS LÄN</t>
        </is>
      </c>
      <c r="G623" t="inlineStr">
        <is>
          <t>BENGTSFORS</t>
        </is>
      </c>
      <c r="I623" t="n">
        <v>1.2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s="2" t="inlineStr"/>
    </row>
    <row r="624" ht="15" customHeight="1">
      <c r="A624" t="inlineStr">
        <is>
          <t>A 45613-2024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45579</v>
      </c>
      <c r="E624" s="1" t="n">
        <v>46218</v>
      </c>
      <c r="F624" t="inlineStr">
        <is>
          <t>VÄSTRA GÖTALANDS LÄN</t>
        </is>
      </c>
      <c r="G624" t="inlineStr">
        <is>
          <t>BENGTSFORS</t>
        </is>
      </c>
      <c r="I624" t="n">
        <v>7.9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s="2" t="inlineStr"/>
    </row>
    <row r="625" ht="15" customHeight="1">
      <c r="A625" t="inlineStr">
        <is>
          <t>A 5687-2022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44596</v>
      </c>
      <c r="E625" s="1" t="n">
        <v>46218</v>
      </c>
      <c r="F625" t="inlineStr">
        <is>
          <t>VÄSTRA GÖTALANDS LÄN</t>
        </is>
      </c>
      <c r="G625" t="inlineStr">
        <is>
          <t>BENGTSFORS</t>
        </is>
      </c>
      <c r="I625" t="n">
        <v>4.5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s="2" t="inlineStr"/>
    </row>
    <row r="626" ht="15" customHeight="1">
      <c r="A626" t="inlineStr">
        <is>
          <t>A 7491-2026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46059</v>
      </c>
      <c r="E626" s="1" t="n">
        <v>46218</v>
      </c>
      <c r="F626" t="inlineStr">
        <is>
          <t>VÄSTRA GÖTALANDS LÄN</t>
        </is>
      </c>
      <c r="G626" t="inlineStr">
        <is>
          <t>BENGTSFORS</t>
        </is>
      </c>
      <c r="I626" t="n">
        <v>8.199999999999999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s="2" t="inlineStr"/>
    </row>
    <row r="627" ht="15" customHeight="1">
      <c r="A627" t="inlineStr">
        <is>
          <t>A 29309-2026</t>
        </is>
      </c>
      <c r="B627" t="inlineStr">
        <is>
          <t>avverkningsanmälan</t>
        </is>
      </c>
      <c r="C627" t="inlineStr">
        <is>
          <t>Avverkning för annat ändamål</t>
        </is>
      </c>
      <c r="D627" s="1" t="n">
        <v>46197</v>
      </c>
      <c r="E627" s="1" t="n">
        <v>46218</v>
      </c>
      <c r="F627" t="inlineStr">
        <is>
          <t>VÄSTRA GÖTALANDS LÄN</t>
        </is>
      </c>
      <c r="G627" t="inlineStr">
        <is>
          <t>BENGTSFORS</t>
        </is>
      </c>
      <c r="I627" t="n">
        <v>0.8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s="2" t="inlineStr"/>
    </row>
    <row r="628" ht="15" customHeight="1">
      <c r="A628" t="inlineStr">
        <is>
          <t>A 50005-2023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45215</v>
      </c>
      <c r="E628" s="1" t="n">
        <v>46218</v>
      </c>
      <c r="F628" t="inlineStr">
        <is>
          <t>VÄSTRA GÖTALANDS LÄN</t>
        </is>
      </c>
      <c r="G628" t="inlineStr">
        <is>
          <t>BENGTSFORS</t>
        </is>
      </c>
      <c r="I628" t="n">
        <v>4.4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s="2" t="inlineStr"/>
    </row>
    <row r="629" ht="15" customHeight="1">
      <c r="A629" t="inlineStr">
        <is>
          <t>A 39948-2024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45553</v>
      </c>
      <c r="E629" s="1" t="n">
        <v>46218</v>
      </c>
      <c r="F629" t="inlineStr">
        <is>
          <t>VÄSTRA GÖTALANDS LÄN</t>
        </is>
      </c>
      <c r="G629" t="inlineStr">
        <is>
          <t>BENGTSFORS</t>
        </is>
      </c>
      <c r="I629" t="n">
        <v>5.3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s="2" t="inlineStr"/>
    </row>
    <row r="630" ht="15" customHeight="1">
      <c r="A630" t="inlineStr">
        <is>
          <t>A 23052-2026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46161</v>
      </c>
      <c r="E630" s="1" t="n">
        <v>46218</v>
      </c>
      <c r="F630" t="inlineStr">
        <is>
          <t>VÄSTRA GÖTALANDS LÄN</t>
        </is>
      </c>
      <c r="G630" t="inlineStr">
        <is>
          <t>BENGTSFORS</t>
        </is>
      </c>
      <c r="I630" t="n">
        <v>2.3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s="2" t="inlineStr"/>
    </row>
    <row r="631" ht="15" customHeight="1">
      <c r="A631" t="inlineStr">
        <is>
          <t>A 19944-2025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45771</v>
      </c>
      <c r="E631" s="1" t="n">
        <v>46218</v>
      </c>
      <c r="F631" t="inlineStr">
        <is>
          <t>VÄSTRA GÖTALANDS LÄN</t>
        </is>
      </c>
      <c r="G631" t="inlineStr">
        <is>
          <t>BENGTSFORS</t>
        </is>
      </c>
      <c r="I631" t="n">
        <v>3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s="2" t="inlineStr"/>
    </row>
    <row r="632" ht="15" customHeight="1">
      <c r="A632" t="inlineStr">
        <is>
          <t>A 5656-2026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46051</v>
      </c>
      <c r="E632" s="1" t="n">
        <v>46218</v>
      </c>
      <c r="F632" t="inlineStr">
        <is>
          <t>VÄSTRA GÖTALANDS LÄN</t>
        </is>
      </c>
      <c r="G632" t="inlineStr">
        <is>
          <t>BENGTSFORS</t>
        </is>
      </c>
      <c r="I632" t="n">
        <v>1.3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s="2" t="inlineStr"/>
    </row>
    <row r="633" ht="15" customHeight="1">
      <c r="A633" t="inlineStr">
        <is>
          <t>A 49132-2025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45937</v>
      </c>
      <c r="E633" s="1" t="n">
        <v>46218</v>
      </c>
      <c r="F633" t="inlineStr">
        <is>
          <t>VÄSTRA GÖTALANDS LÄN</t>
        </is>
      </c>
      <c r="G633" t="inlineStr">
        <is>
          <t>BENGTSFORS</t>
        </is>
      </c>
      <c r="I633" t="n">
        <v>12.4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s="2" t="inlineStr"/>
    </row>
    <row r="634" ht="15" customHeight="1">
      <c r="A634" t="inlineStr">
        <is>
          <t>A 23119-2026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46161</v>
      </c>
      <c r="E634" s="1" t="n">
        <v>46218</v>
      </c>
      <c r="F634" t="inlineStr">
        <is>
          <t>VÄSTRA GÖTALANDS LÄN</t>
        </is>
      </c>
      <c r="G634" t="inlineStr">
        <is>
          <t>BENGTSFORS</t>
        </is>
      </c>
      <c r="I634" t="n">
        <v>1.4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s="2" t="inlineStr"/>
    </row>
    <row r="635" ht="15" customHeight="1">
      <c r="A635" t="inlineStr">
        <is>
          <t>A 27440-2022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44742</v>
      </c>
      <c r="E635" s="1" t="n">
        <v>46218</v>
      </c>
      <c r="F635" t="inlineStr">
        <is>
          <t>VÄSTRA GÖTALANDS LÄN</t>
        </is>
      </c>
      <c r="G635" t="inlineStr">
        <is>
          <t>BENGTSFORS</t>
        </is>
      </c>
      <c r="I635" t="n">
        <v>5.1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s="2" t="inlineStr"/>
    </row>
    <row r="636" ht="15" customHeight="1">
      <c r="A636" t="inlineStr">
        <is>
          <t>A 50988-2024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45603</v>
      </c>
      <c r="E636" s="1" t="n">
        <v>46218</v>
      </c>
      <c r="F636" t="inlineStr">
        <is>
          <t>VÄSTRA GÖTALANDS LÄN</t>
        </is>
      </c>
      <c r="G636" t="inlineStr">
        <is>
          <t>BENGTSFORS</t>
        </is>
      </c>
      <c r="I636" t="n">
        <v>3.1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s="2" t="inlineStr"/>
    </row>
    <row r="637" ht="15" customHeight="1">
      <c r="A637" t="inlineStr">
        <is>
          <t>A 62316-2022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44916</v>
      </c>
      <c r="E637" s="1" t="n">
        <v>46218</v>
      </c>
      <c r="F637" t="inlineStr">
        <is>
          <t>VÄSTRA GÖTALANDS LÄN</t>
        </is>
      </c>
      <c r="G637" t="inlineStr">
        <is>
          <t>BENGTSFORS</t>
        </is>
      </c>
      <c r="H637" t="inlineStr">
        <is>
          <t>Bergvik skog väst AB</t>
        </is>
      </c>
      <c r="I637" t="n">
        <v>1.8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s="2" t="inlineStr"/>
    </row>
    <row r="638" ht="15" customHeight="1">
      <c r="A638" t="inlineStr">
        <is>
          <t>A 20428-2025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45775</v>
      </c>
      <c r="E638" s="1" t="n">
        <v>46218</v>
      </c>
      <c r="F638" t="inlineStr">
        <is>
          <t>VÄSTRA GÖTALANDS LÄN</t>
        </is>
      </c>
      <c r="G638" t="inlineStr">
        <is>
          <t>BENGTSFORS</t>
        </is>
      </c>
      <c r="I638" t="n">
        <v>1.2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s="2" t="inlineStr"/>
    </row>
    <row r="639" ht="15" customHeight="1">
      <c r="A639" t="inlineStr">
        <is>
          <t>A 6368-2026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46055</v>
      </c>
      <c r="E639" s="1" t="n">
        <v>46218</v>
      </c>
      <c r="F639" t="inlineStr">
        <is>
          <t>VÄSTRA GÖTALANDS LÄN</t>
        </is>
      </c>
      <c r="G639" t="inlineStr">
        <is>
          <t>BENGTSFORS</t>
        </is>
      </c>
      <c r="I639" t="n">
        <v>1.8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s="2" t="inlineStr"/>
    </row>
    <row r="640" ht="15" customHeight="1">
      <c r="A640" t="inlineStr">
        <is>
          <t>A 7189-2026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46058</v>
      </c>
      <c r="E640" s="1" t="n">
        <v>46218</v>
      </c>
      <c r="F640" t="inlineStr">
        <is>
          <t>VÄSTRA GÖTALANDS LÄN</t>
        </is>
      </c>
      <c r="G640" t="inlineStr">
        <is>
          <t>BENGTSFORS</t>
        </is>
      </c>
      <c r="I640" t="n">
        <v>2.3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s="2" t="inlineStr"/>
    </row>
    <row r="641" ht="15" customHeight="1">
      <c r="A641" t="inlineStr">
        <is>
          <t>A 7328-2026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46058</v>
      </c>
      <c r="E641" s="1" t="n">
        <v>46218</v>
      </c>
      <c r="F641" t="inlineStr">
        <is>
          <t>VÄSTRA GÖTALANDS LÄN</t>
        </is>
      </c>
      <c r="G641" t="inlineStr">
        <is>
          <t>BENGTSFORS</t>
        </is>
      </c>
      <c r="I641" t="n">
        <v>0.7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s="2" t="inlineStr"/>
    </row>
    <row r="642" ht="15" customHeight="1">
      <c r="A642" t="inlineStr">
        <is>
          <t>A 61125-2025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46000</v>
      </c>
      <c r="E642" s="1" t="n">
        <v>46218</v>
      </c>
      <c r="F642" t="inlineStr">
        <is>
          <t>VÄSTRA GÖTALANDS LÄN</t>
        </is>
      </c>
      <c r="G642" t="inlineStr">
        <is>
          <t>BENGTSFORS</t>
        </is>
      </c>
      <c r="I642" t="n">
        <v>10.6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s="2" t="inlineStr"/>
    </row>
    <row r="643" ht="15" customHeight="1">
      <c r="A643" t="inlineStr">
        <is>
          <t>A 7925-2026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46063</v>
      </c>
      <c r="E643" s="1" t="n">
        <v>46218</v>
      </c>
      <c r="F643" t="inlineStr">
        <is>
          <t>VÄSTRA GÖTALANDS LÄN</t>
        </is>
      </c>
      <c r="G643" t="inlineStr">
        <is>
          <t>BENGTSFORS</t>
        </is>
      </c>
      <c r="I643" t="n">
        <v>1.4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s="2" t="inlineStr"/>
    </row>
    <row r="644" ht="15" customHeight="1">
      <c r="A644" t="inlineStr">
        <is>
          <t>A 7927-2026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46063</v>
      </c>
      <c r="E644" s="1" t="n">
        <v>46218</v>
      </c>
      <c r="F644" t="inlineStr">
        <is>
          <t>VÄSTRA GÖTALANDS LÄN</t>
        </is>
      </c>
      <c r="G644" t="inlineStr">
        <is>
          <t>BENGTSFORS</t>
        </is>
      </c>
      <c r="I644" t="n">
        <v>1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s="2" t="inlineStr"/>
    </row>
    <row r="645" ht="15" customHeight="1">
      <c r="A645" t="inlineStr">
        <is>
          <t>A 23980-2026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46167</v>
      </c>
      <c r="E645" s="1" t="n">
        <v>46218</v>
      </c>
      <c r="F645" t="inlineStr">
        <is>
          <t>VÄSTRA GÖTALANDS LÄN</t>
        </is>
      </c>
      <c r="G645" t="inlineStr">
        <is>
          <t>BENGTSFORS</t>
        </is>
      </c>
      <c r="I645" t="n">
        <v>2.8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s="2" t="inlineStr"/>
    </row>
    <row r="646" ht="15" customHeight="1">
      <c r="A646" t="inlineStr">
        <is>
          <t>A 23992-2026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46167</v>
      </c>
      <c r="E646" s="1" t="n">
        <v>46218</v>
      </c>
      <c r="F646" t="inlineStr">
        <is>
          <t>VÄSTRA GÖTALANDS LÄN</t>
        </is>
      </c>
      <c r="G646" t="inlineStr">
        <is>
          <t>BENGTSFORS</t>
        </is>
      </c>
      <c r="I646" t="n">
        <v>6.5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s="2" t="inlineStr"/>
    </row>
    <row r="647" ht="15" customHeight="1">
      <c r="A647" t="inlineStr">
        <is>
          <t>A 9646-2026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46072</v>
      </c>
      <c r="E647" s="1" t="n">
        <v>46218</v>
      </c>
      <c r="F647" t="inlineStr">
        <is>
          <t>VÄSTRA GÖTALANDS LÄN</t>
        </is>
      </c>
      <c r="G647" t="inlineStr">
        <is>
          <t>BENGTSFORS</t>
        </is>
      </c>
      <c r="I647" t="n">
        <v>2.6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s="2" t="inlineStr"/>
    </row>
    <row r="648" ht="15" customHeight="1">
      <c r="A648" t="inlineStr">
        <is>
          <t>A 10203-2026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46076</v>
      </c>
      <c r="E648" s="1" t="n">
        <v>46218</v>
      </c>
      <c r="F648" t="inlineStr">
        <is>
          <t>VÄSTRA GÖTALANDS LÄN</t>
        </is>
      </c>
      <c r="G648" t="inlineStr">
        <is>
          <t>BENGTSFORS</t>
        </is>
      </c>
      <c r="I648" t="n">
        <v>3.4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s="2" t="inlineStr"/>
    </row>
    <row r="649" ht="15" customHeight="1">
      <c r="A649" t="inlineStr">
        <is>
          <t>A 37889-2025</t>
        </is>
      </c>
      <c r="B649" t="inlineStr">
        <is>
          <t>avverkningsanmälan</t>
        </is>
      </c>
      <c r="C649" t="inlineStr">
        <is>
          <t>Avverkning för att bevara och utveckla /försöksver</t>
        </is>
      </c>
      <c r="D649" s="1" t="n">
        <v>45881</v>
      </c>
      <c r="E649" s="1" t="n">
        <v>46218</v>
      </c>
      <c r="F649" t="inlineStr">
        <is>
          <t>VÄSTRA GÖTALANDS LÄN</t>
        </is>
      </c>
      <c r="G649" t="inlineStr">
        <is>
          <t>BENGTSFORS</t>
        </is>
      </c>
      <c r="I649" t="n">
        <v>1.3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s="2" t="inlineStr"/>
    </row>
    <row r="650" ht="15" customHeight="1">
      <c r="A650" t="inlineStr">
        <is>
          <t>A 24184-2026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46168</v>
      </c>
      <c r="E650" s="1" t="n">
        <v>46218</v>
      </c>
      <c r="F650" t="inlineStr">
        <is>
          <t>VÄSTRA GÖTALANDS LÄN</t>
        </is>
      </c>
      <c r="G650" t="inlineStr">
        <is>
          <t>BENGTSFORS</t>
        </is>
      </c>
      <c r="I650" t="n">
        <v>2.6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s="2" t="inlineStr"/>
    </row>
    <row r="651" ht="15" customHeight="1">
      <c r="A651" t="inlineStr">
        <is>
          <t>A 24215-2026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46168</v>
      </c>
      <c r="E651" s="1" t="n">
        <v>46218</v>
      </c>
      <c r="F651" t="inlineStr">
        <is>
          <t>VÄSTRA GÖTALANDS LÄN</t>
        </is>
      </c>
      <c r="G651" t="inlineStr">
        <is>
          <t>BENGTSFORS</t>
        </is>
      </c>
      <c r="I651" t="n">
        <v>2.6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s="2" t="inlineStr"/>
    </row>
    <row r="652" ht="15" customHeight="1">
      <c r="A652" t="inlineStr">
        <is>
          <t>A 9418-2025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45715</v>
      </c>
      <c r="E652" s="1" t="n">
        <v>46218</v>
      </c>
      <c r="F652" t="inlineStr">
        <is>
          <t>VÄSTRA GÖTALANDS LÄN</t>
        </is>
      </c>
      <c r="G652" t="inlineStr">
        <is>
          <t>BENGTSFORS</t>
        </is>
      </c>
      <c r="I652" t="n">
        <v>1.1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s="2" t="inlineStr"/>
    </row>
    <row r="653" ht="15" customHeight="1">
      <c r="A653" t="inlineStr">
        <is>
          <t>A 24055-2026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46168</v>
      </c>
      <c r="E653" s="1" t="n">
        <v>46218</v>
      </c>
      <c r="F653" t="inlineStr">
        <is>
          <t>VÄSTRA GÖTALANDS LÄN</t>
        </is>
      </c>
      <c r="G653" t="inlineStr">
        <is>
          <t>BENGTSFORS</t>
        </is>
      </c>
      <c r="I653" t="n">
        <v>1.2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s="2" t="inlineStr"/>
    </row>
    <row r="654" ht="15" customHeight="1">
      <c r="A654" t="inlineStr">
        <is>
          <t>A 24284-2026</t>
        </is>
      </c>
      <c r="B654" t="inlineStr">
        <is>
          <t>avverkningsanmälan</t>
        </is>
      </c>
      <c r="C654" t="inlineStr">
        <is>
          <t>Avverkning för annat ändamål</t>
        </is>
      </c>
      <c r="D654" s="1" t="n">
        <v>46169</v>
      </c>
      <c r="E654" s="1" t="n">
        <v>46218</v>
      </c>
      <c r="F654" t="inlineStr">
        <is>
          <t>VÄSTRA GÖTALANDS LÄN</t>
        </is>
      </c>
      <c r="G654" t="inlineStr">
        <is>
          <t>BENGTSFORS</t>
        </is>
      </c>
      <c r="I654" t="n">
        <v>0.2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s="2" t="inlineStr"/>
    </row>
    <row r="655" ht="15" customHeight="1">
      <c r="A655" t="inlineStr">
        <is>
          <t>A 24173-2026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46168</v>
      </c>
      <c r="E655" s="1" t="n">
        <v>46218</v>
      </c>
      <c r="F655" t="inlineStr">
        <is>
          <t>VÄSTRA GÖTALANDS LÄN</t>
        </is>
      </c>
      <c r="G655" t="inlineStr">
        <is>
          <t>BENGTSFORS</t>
        </is>
      </c>
      <c r="I655" t="n">
        <v>3.3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s="2" t="inlineStr"/>
    </row>
    <row r="656" ht="15" customHeight="1">
      <c r="A656" t="inlineStr">
        <is>
          <t>A 24210-2026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46168</v>
      </c>
      <c r="E656" s="1" t="n">
        <v>46218</v>
      </c>
      <c r="F656" t="inlineStr">
        <is>
          <t>VÄSTRA GÖTALANDS LÄN</t>
        </is>
      </c>
      <c r="G656" t="inlineStr">
        <is>
          <t>BENGTSFORS</t>
        </is>
      </c>
      <c r="I656" t="n">
        <v>2.5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s="2" t="inlineStr"/>
    </row>
    <row r="657" ht="15" customHeight="1">
      <c r="A657" t="inlineStr">
        <is>
          <t>A 24054-2026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46168</v>
      </c>
      <c r="E657" s="1" t="n">
        <v>46218</v>
      </c>
      <c r="F657" t="inlineStr">
        <is>
          <t>VÄSTRA GÖTALANDS LÄN</t>
        </is>
      </c>
      <c r="G657" t="inlineStr">
        <is>
          <t>BENGTSFORS</t>
        </is>
      </c>
      <c r="I657" t="n">
        <v>1.5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s="2" t="inlineStr"/>
    </row>
    <row r="658" ht="15" customHeight="1">
      <c r="A658" t="inlineStr">
        <is>
          <t>A 24058-2026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46168</v>
      </c>
      <c r="E658" s="1" t="n">
        <v>46218</v>
      </c>
      <c r="F658" t="inlineStr">
        <is>
          <t>VÄSTRA GÖTALANDS LÄN</t>
        </is>
      </c>
      <c r="G658" t="inlineStr">
        <is>
          <t>BENGTSFORS</t>
        </is>
      </c>
      <c r="I658" t="n">
        <v>1.5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s="2" t="inlineStr"/>
    </row>
    <row r="659" ht="15" customHeight="1">
      <c r="A659" t="inlineStr">
        <is>
          <t>A 12104-2026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46086</v>
      </c>
      <c r="E659" s="1" t="n">
        <v>46218</v>
      </c>
      <c r="F659" t="inlineStr">
        <is>
          <t>VÄSTRA GÖTALANDS LÄN</t>
        </is>
      </c>
      <c r="G659" t="inlineStr">
        <is>
          <t>BENGTSFORS</t>
        </is>
      </c>
      <c r="I659" t="n">
        <v>1.8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s="2" t="inlineStr"/>
    </row>
    <row r="660" ht="15" customHeight="1">
      <c r="A660" t="inlineStr">
        <is>
          <t>A 12140-2026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46086</v>
      </c>
      <c r="E660" s="1" t="n">
        <v>46218</v>
      </c>
      <c r="F660" t="inlineStr">
        <is>
          <t>VÄSTRA GÖTALANDS LÄN</t>
        </is>
      </c>
      <c r="G660" t="inlineStr">
        <is>
          <t>BENGTSFORS</t>
        </is>
      </c>
      <c r="I660" t="n">
        <v>1.5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s="2" t="inlineStr"/>
    </row>
    <row r="661" ht="15" customHeight="1">
      <c r="A661" t="inlineStr">
        <is>
          <t>A 12105-2026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46086</v>
      </c>
      <c r="E661" s="1" t="n">
        <v>46218</v>
      </c>
      <c r="F661" t="inlineStr">
        <is>
          <t>VÄSTRA GÖTALANDS LÄN</t>
        </is>
      </c>
      <c r="G661" t="inlineStr">
        <is>
          <t>BENGTSFORS</t>
        </is>
      </c>
      <c r="I661" t="n">
        <v>0.8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s="2" t="inlineStr"/>
    </row>
    <row r="662" ht="15" customHeight="1">
      <c r="A662" t="inlineStr">
        <is>
          <t>A 24942-2026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46174</v>
      </c>
      <c r="E662" s="1" t="n">
        <v>46218</v>
      </c>
      <c r="F662" t="inlineStr">
        <is>
          <t>VÄSTRA GÖTALANDS LÄN</t>
        </is>
      </c>
      <c r="G662" t="inlineStr">
        <is>
          <t>BENGTSFORS</t>
        </is>
      </c>
      <c r="I662" t="n">
        <v>0.6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s="2" t="inlineStr"/>
    </row>
    <row r="663" ht="15" customHeight="1">
      <c r="A663" t="inlineStr">
        <is>
          <t>A 13611-2026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46094</v>
      </c>
      <c r="E663" s="1" t="n">
        <v>46218</v>
      </c>
      <c r="F663" t="inlineStr">
        <is>
          <t>VÄSTRA GÖTALANDS LÄN</t>
        </is>
      </c>
      <c r="G663" t="inlineStr">
        <is>
          <t>BENGTSFORS</t>
        </is>
      </c>
      <c r="I663" t="n">
        <v>10.5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s="2" t="inlineStr"/>
    </row>
    <row r="664" ht="15" customHeight="1">
      <c r="A664" t="inlineStr">
        <is>
          <t>A 13484-2026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46093</v>
      </c>
      <c r="E664" s="1" t="n">
        <v>46218</v>
      </c>
      <c r="F664" t="inlineStr">
        <is>
          <t>VÄSTRA GÖTALANDS LÄN</t>
        </is>
      </c>
      <c r="G664" t="inlineStr">
        <is>
          <t>BENGTSFORS</t>
        </is>
      </c>
      <c r="H664" t="inlineStr">
        <is>
          <t>Bergvik skog väst AB</t>
        </is>
      </c>
      <c r="I664" t="n">
        <v>1.4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s="2" t="inlineStr"/>
    </row>
    <row r="665" ht="15" customHeight="1">
      <c r="A665" t="inlineStr">
        <is>
          <t>A 25177-2026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46175</v>
      </c>
      <c r="E665" s="1" t="n">
        <v>46218</v>
      </c>
      <c r="F665" t="inlineStr">
        <is>
          <t>VÄSTRA GÖTALANDS LÄN</t>
        </is>
      </c>
      <c r="G665" t="inlineStr">
        <is>
          <t>BENGTSFORS</t>
        </is>
      </c>
      <c r="I665" t="n">
        <v>7.7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s="2" t="inlineStr"/>
    </row>
    <row r="666" ht="15" customHeight="1">
      <c r="A666" t="inlineStr">
        <is>
          <t>A 14167-2026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46099</v>
      </c>
      <c r="E666" s="1" t="n">
        <v>46218</v>
      </c>
      <c r="F666" t="inlineStr">
        <is>
          <t>VÄSTRA GÖTALANDS LÄN</t>
        </is>
      </c>
      <c r="G666" t="inlineStr">
        <is>
          <t>BENGTSFORS</t>
        </is>
      </c>
      <c r="I666" t="n">
        <v>1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s="2" t="inlineStr"/>
    </row>
    <row r="667" ht="15" customHeight="1">
      <c r="A667" t="inlineStr">
        <is>
          <t>A 15483-2026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46106</v>
      </c>
      <c r="E667" s="1" t="n">
        <v>46218</v>
      </c>
      <c r="F667" t="inlineStr">
        <is>
          <t>VÄSTRA GÖTALANDS LÄN</t>
        </is>
      </c>
      <c r="G667" t="inlineStr">
        <is>
          <t>BENGTSFORS</t>
        </is>
      </c>
      <c r="H667" t="inlineStr">
        <is>
          <t>Övriga Aktiebolag</t>
        </is>
      </c>
      <c r="I667" t="n">
        <v>2.1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s="2" t="inlineStr"/>
    </row>
    <row r="668" ht="15" customHeight="1">
      <c r="A668" t="inlineStr">
        <is>
          <t>A 16107-2026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46108</v>
      </c>
      <c r="E668" s="1" t="n">
        <v>46218</v>
      </c>
      <c r="F668" t="inlineStr">
        <is>
          <t>VÄSTRA GÖTALANDS LÄN</t>
        </is>
      </c>
      <c r="G668" t="inlineStr">
        <is>
          <t>BENGTSFORS</t>
        </is>
      </c>
      <c r="I668" t="n">
        <v>4.4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s="2" t="inlineStr"/>
    </row>
    <row r="669" ht="15" customHeight="1">
      <c r="A669" t="inlineStr">
        <is>
          <t>A 16194-2026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46111</v>
      </c>
      <c r="E669" s="1" t="n">
        <v>46218</v>
      </c>
      <c r="F669" t="inlineStr">
        <is>
          <t>VÄSTRA GÖTALANDS LÄN</t>
        </is>
      </c>
      <c r="G669" t="inlineStr">
        <is>
          <t>BENGTSFORS</t>
        </is>
      </c>
      <c r="I669" t="n">
        <v>2.2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s="2" t="inlineStr"/>
    </row>
    <row r="670" ht="15" customHeight="1">
      <c r="A670" t="inlineStr">
        <is>
          <t>A 16610-2026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46112</v>
      </c>
      <c r="E670" s="1" t="n">
        <v>46218</v>
      </c>
      <c r="F670" t="inlineStr">
        <is>
          <t>VÄSTRA GÖTALANDS LÄN</t>
        </is>
      </c>
      <c r="G670" t="inlineStr">
        <is>
          <t>BENGTSFORS</t>
        </is>
      </c>
      <c r="H670" t="inlineStr">
        <is>
          <t>Kyrkan</t>
        </is>
      </c>
      <c r="I670" t="n">
        <v>1.7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s="2" t="inlineStr"/>
    </row>
    <row r="671" ht="15" customHeight="1">
      <c r="A671" t="inlineStr">
        <is>
          <t>A 16422-2026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46111</v>
      </c>
      <c r="E671" s="1" t="n">
        <v>46218</v>
      </c>
      <c r="F671" t="inlineStr">
        <is>
          <t>VÄSTRA GÖTALANDS LÄN</t>
        </is>
      </c>
      <c r="G671" t="inlineStr">
        <is>
          <t>BENGTSFORS</t>
        </is>
      </c>
      <c r="I671" t="n">
        <v>2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s="2" t="inlineStr"/>
    </row>
    <row r="672" ht="15" customHeight="1">
      <c r="A672" t="inlineStr">
        <is>
          <t>A 17059-2026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46114</v>
      </c>
      <c r="E672" s="1" t="n">
        <v>46218</v>
      </c>
      <c r="F672" t="inlineStr">
        <is>
          <t>VÄSTRA GÖTALANDS LÄN</t>
        </is>
      </c>
      <c r="G672" t="inlineStr">
        <is>
          <t>BENGTSFORS</t>
        </is>
      </c>
      <c r="I672" t="n">
        <v>0.8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s="2" t="inlineStr"/>
    </row>
    <row r="673" ht="15" customHeight="1">
      <c r="A673" t="inlineStr">
        <is>
          <t>A 17060-2026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46114</v>
      </c>
      <c r="E673" s="1" t="n">
        <v>46218</v>
      </c>
      <c r="F673" t="inlineStr">
        <is>
          <t>VÄSTRA GÖTALANDS LÄN</t>
        </is>
      </c>
      <c r="G673" t="inlineStr">
        <is>
          <t>BENGTSFORS</t>
        </is>
      </c>
      <c r="I673" t="n">
        <v>2.2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s="2" t="inlineStr"/>
    </row>
    <row r="674" ht="15" customHeight="1">
      <c r="A674" t="inlineStr">
        <is>
          <t>A 16697-2026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46112</v>
      </c>
      <c r="E674" s="1" t="n">
        <v>46218</v>
      </c>
      <c r="F674" t="inlineStr">
        <is>
          <t>VÄSTRA GÖTALANDS LÄN</t>
        </is>
      </c>
      <c r="G674" t="inlineStr">
        <is>
          <t>BENGTSFORS</t>
        </is>
      </c>
      <c r="H674" t="inlineStr">
        <is>
          <t>Kyrkan</t>
        </is>
      </c>
      <c r="I674" t="n">
        <v>0.5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s="2" t="inlineStr"/>
    </row>
    <row r="675" ht="15" customHeight="1">
      <c r="A675" t="inlineStr">
        <is>
          <t>A 17493-2026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46119</v>
      </c>
      <c r="E675" s="1" t="n">
        <v>46218</v>
      </c>
      <c r="F675" t="inlineStr">
        <is>
          <t>VÄSTRA GÖTALANDS LÄN</t>
        </is>
      </c>
      <c r="G675" t="inlineStr">
        <is>
          <t>BENGTSFORS</t>
        </is>
      </c>
      <c r="I675" t="n">
        <v>0.8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s="2" t="inlineStr"/>
    </row>
    <row r="676" ht="15" customHeight="1">
      <c r="A676" t="inlineStr">
        <is>
          <t>A 25521-2026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46177</v>
      </c>
      <c r="E676" s="1" t="n">
        <v>46218</v>
      </c>
      <c r="F676" t="inlineStr">
        <is>
          <t>VÄSTRA GÖTALANDS LÄN</t>
        </is>
      </c>
      <c r="G676" t="inlineStr">
        <is>
          <t>BENGTSFORS</t>
        </is>
      </c>
      <c r="H676" t="inlineStr">
        <is>
          <t>Kyrkan</t>
        </is>
      </c>
      <c r="I676" t="n">
        <v>3.5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s="2" t="inlineStr"/>
    </row>
    <row r="677" ht="15" customHeight="1">
      <c r="A677" t="inlineStr">
        <is>
          <t>A 4795-2025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45688</v>
      </c>
      <c r="E677" s="1" t="n">
        <v>46218</v>
      </c>
      <c r="F677" t="inlineStr">
        <is>
          <t>VÄSTRA GÖTALANDS LÄN</t>
        </is>
      </c>
      <c r="G677" t="inlineStr">
        <is>
          <t>BENGTSFORS</t>
        </is>
      </c>
      <c r="I677" t="n">
        <v>4.1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s="2" t="inlineStr"/>
    </row>
    <row r="678" ht="15" customHeight="1">
      <c r="A678" t="inlineStr">
        <is>
          <t>A 63724-2025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46010</v>
      </c>
      <c r="E678" s="1" t="n">
        <v>46218</v>
      </c>
      <c r="F678" t="inlineStr">
        <is>
          <t>VÄSTRA GÖTALANDS LÄN</t>
        </is>
      </c>
      <c r="G678" t="inlineStr">
        <is>
          <t>BENGTSFORS</t>
        </is>
      </c>
      <c r="I678" t="n">
        <v>1.3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s="2" t="inlineStr"/>
    </row>
    <row r="679" ht="15" customHeight="1">
      <c r="A679" t="inlineStr">
        <is>
          <t>A 64837-2021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44512</v>
      </c>
      <c r="E679" s="1" t="n">
        <v>46218</v>
      </c>
      <c r="F679" t="inlineStr">
        <is>
          <t>VÄSTRA GÖTALANDS LÄN</t>
        </is>
      </c>
      <c r="G679" t="inlineStr">
        <is>
          <t>BENGTSFORS</t>
        </is>
      </c>
      <c r="I679" t="n">
        <v>3.7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s="2" t="inlineStr"/>
    </row>
    <row r="680" ht="15" customHeight="1">
      <c r="A680" t="inlineStr">
        <is>
          <t>A 26028-2026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46181</v>
      </c>
      <c r="E680" s="1" t="n">
        <v>46218</v>
      </c>
      <c r="F680" t="inlineStr">
        <is>
          <t>VÄSTRA GÖTALANDS LÄN</t>
        </is>
      </c>
      <c r="G680" t="inlineStr">
        <is>
          <t>BENGTSFORS</t>
        </is>
      </c>
      <c r="I680" t="n">
        <v>4.2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s="2" t="inlineStr"/>
    </row>
    <row r="681" ht="15" customHeight="1">
      <c r="A681" t="inlineStr">
        <is>
          <t>A 29638-2025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45825</v>
      </c>
      <c r="E681" s="1" t="n">
        <v>46218</v>
      </c>
      <c r="F681" t="inlineStr">
        <is>
          <t>VÄSTRA GÖTALANDS LÄN</t>
        </is>
      </c>
      <c r="G681" t="inlineStr">
        <is>
          <t>BENGTSFORS</t>
        </is>
      </c>
      <c r="I681" t="n">
        <v>1.4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s="2" t="inlineStr"/>
    </row>
    <row r="682" ht="15" customHeight="1">
      <c r="A682" t="inlineStr">
        <is>
          <t>S 7776-2021</t>
        </is>
      </c>
      <c r="B682" t="inlineStr">
        <is>
          <t>samrådsanmälan</t>
        </is>
      </c>
      <c r="C682" t="inlineStr">
        <is>
          <t>Annan skogsbruksåtgärd</t>
        </is>
      </c>
      <c r="D682" s="1" t="n">
        <v>44481</v>
      </c>
      <c r="E682" s="1" t="n">
        <v>46218</v>
      </c>
      <c r="F682" t="inlineStr">
        <is>
          <t>VÄSTRA GÖTALANDS LÄN</t>
        </is>
      </c>
      <c r="G682" t="inlineStr">
        <is>
          <t>BENGTSFORS</t>
        </is>
      </c>
      <c r="I682" t="n">
        <v>1.4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s="2" t="inlineStr"/>
    </row>
    <row r="683" ht="15" customHeight="1">
      <c r="A683" t="inlineStr">
        <is>
          <t>S 81-2025</t>
        </is>
      </c>
      <c r="B683" t="inlineStr">
        <is>
          <t>samrådsanmälan</t>
        </is>
      </c>
      <c r="C683" t="inlineStr">
        <is>
          <t>Annan skogsbruksåtgärd</t>
        </is>
      </c>
      <c r="D683" s="1" t="n">
        <v>45671</v>
      </c>
      <c r="E683" s="1" t="n">
        <v>46218</v>
      </c>
      <c r="F683" t="inlineStr">
        <is>
          <t>VÄSTRA GÖTALANDS LÄN</t>
        </is>
      </c>
      <c r="G683" t="inlineStr">
        <is>
          <t>BENGTSFORS</t>
        </is>
      </c>
      <c r="I683" t="n">
        <v>8.6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s="2" t="inlineStr"/>
    </row>
    <row r="684" ht="15" customHeight="1">
      <c r="A684" t="inlineStr">
        <is>
          <t>S 598-2024</t>
        </is>
      </c>
      <c r="B684" t="inlineStr">
        <is>
          <t>samrådsanmälan</t>
        </is>
      </c>
      <c r="C684" t="inlineStr">
        <is>
          <t>Askåterföring</t>
        </is>
      </c>
      <c r="D684" s="1" t="n">
        <v>45351</v>
      </c>
      <c r="E684" s="1" t="n">
        <v>46218</v>
      </c>
      <c r="F684" t="inlineStr">
        <is>
          <t>VÄSTRA GÖTALANDS LÄN</t>
        </is>
      </c>
      <c r="G684" t="inlineStr">
        <is>
          <t>BENGTSFORS</t>
        </is>
      </c>
      <c r="I684" t="n">
        <v>31.6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s="2" t="inlineStr"/>
    </row>
    <row r="685" ht="15" customHeight="1">
      <c r="A685" t="inlineStr">
        <is>
          <t>S 7241-2021</t>
        </is>
      </c>
      <c r="B685" t="inlineStr">
        <is>
          <t>samrådsanmälan</t>
        </is>
      </c>
      <c r="C685" t="inlineStr">
        <is>
          <t>Skogsbilväg</t>
        </is>
      </c>
      <c r="D685" s="1" t="n">
        <v>44466</v>
      </c>
      <c r="E685" s="1" t="n">
        <v>46218</v>
      </c>
      <c r="F685" t="inlineStr">
        <is>
          <t>VÄSTRA GÖTALANDS LÄN</t>
        </is>
      </c>
      <c r="G685" t="inlineStr">
        <is>
          <t>BENGTSFORS</t>
        </is>
      </c>
      <c r="I685" t="n">
        <v>2.2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s="2" t="inlineStr"/>
    </row>
    <row r="686" ht="15" customHeight="1">
      <c r="A686" t="inlineStr">
        <is>
          <t>S 3728-2022</t>
        </is>
      </c>
      <c r="B686" t="inlineStr">
        <is>
          <t>samrådsanmälan</t>
        </is>
      </c>
      <c r="C686" t="inlineStr">
        <is>
          <t>Skogsbilväg</t>
        </is>
      </c>
      <c r="D686" s="1" t="n">
        <v>44741</v>
      </c>
      <c r="E686" s="1" t="n">
        <v>46218</v>
      </c>
      <c r="F686" t="inlineStr">
        <is>
          <t>VÄSTRA GÖTALANDS LÄN</t>
        </is>
      </c>
      <c r="G686" t="inlineStr">
        <is>
          <t>BENGTSFORS</t>
        </is>
      </c>
      <c r="I686" t="n">
        <v>2.5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s="2" t="inlineStr"/>
    </row>
    <row r="687" ht="15" customHeight="1">
      <c r="A687" t="inlineStr">
        <is>
          <t>S 1235-2022</t>
        </is>
      </c>
      <c r="B687" t="inlineStr">
        <is>
          <t>samrådsanmälan</t>
        </is>
      </c>
      <c r="C687" t="inlineStr">
        <is>
          <t>Skogsbilväg</t>
        </is>
      </c>
      <c r="D687" s="1" t="n">
        <v>44623</v>
      </c>
      <c r="E687" s="1" t="n">
        <v>46218</v>
      </c>
      <c r="F687" t="inlineStr">
        <is>
          <t>VÄSTRA GÖTALANDS LÄN</t>
        </is>
      </c>
      <c r="G687" t="inlineStr">
        <is>
          <t>BENGTSFORS</t>
        </is>
      </c>
      <c r="I687" t="n">
        <v>1.3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s="2" t="inlineStr"/>
    </row>
    <row r="688" ht="15" customHeight="1">
      <c r="A688" t="inlineStr">
        <is>
          <t>S 4447-2023</t>
        </is>
      </c>
      <c r="B688" t="inlineStr">
        <is>
          <t>samrådsanmälan</t>
        </is>
      </c>
      <c r="C688" t="inlineStr">
        <is>
          <t>Annan skogsbruksåtgärd</t>
        </is>
      </c>
      <c r="D688" s="1" t="n">
        <v>45271</v>
      </c>
      <c r="E688" s="1" t="n">
        <v>46218</v>
      </c>
      <c r="F688" t="inlineStr">
        <is>
          <t>VÄSTRA GÖTALANDS LÄN</t>
        </is>
      </c>
      <c r="G688" t="inlineStr">
        <is>
          <t>BENGTSFORS</t>
        </is>
      </c>
      <c r="I688" t="n">
        <v>11.3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s="2" t="inlineStr"/>
    </row>
    <row r="689" ht="15" customHeight="1">
      <c r="A689" t="inlineStr">
        <is>
          <t>S 7157-2022</t>
        </is>
      </c>
      <c r="B689" t="inlineStr">
        <is>
          <t>samrådsanmälan</t>
        </is>
      </c>
      <c r="C689" t="inlineStr">
        <is>
          <t>Annan skogsbruksåtgärd</t>
        </is>
      </c>
      <c r="D689" s="1" t="n">
        <v>44914</v>
      </c>
      <c r="E689" s="1" t="n">
        <v>46218</v>
      </c>
      <c r="F689" t="inlineStr">
        <is>
          <t>VÄSTRA GÖTALANDS LÄN</t>
        </is>
      </c>
      <c r="G689" t="inlineStr">
        <is>
          <t>BENGTSFORS</t>
        </is>
      </c>
      <c r="I689" t="n">
        <v>0.4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s="2" t="inlineStr"/>
    </row>
    <row r="690" ht="15" customHeight="1">
      <c r="A690" t="inlineStr">
        <is>
          <t>S 83-2025</t>
        </is>
      </c>
      <c r="B690" t="inlineStr">
        <is>
          <t>samrådsanmälan</t>
        </is>
      </c>
      <c r="C690" t="inlineStr">
        <is>
          <t>Annan skogsbruksåtgärd</t>
        </is>
      </c>
      <c r="D690" s="1" t="n">
        <v>45671</v>
      </c>
      <c r="E690" s="1" t="n">
        <v>46218</v>
      </c>
      <c r="F690" t="inlineStr">
        <is>
          <t>VÄSTRA GÖTALANDS LÄN</t>
        </is>
      </c>
      <c r="G690" t="inlineStr">
        <is>
          <t>BENGTSFORS</t>
        </is>
      </c>
      <c r="I690" t="n">
        <v>4.4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s="2" t="inlineStr"/>
    </row>
    <row r="691" ht="15" customHeight="1">
      <c r="A691" t="inlineStr">
        <is>
          <t>S 723-2025</t>
        </is>
      </c>
      <c r="B691" t="inlineStr">
        <is>
          <t>samrådsanmälan</t>
        </is>
      </c>
      <c r="C691" t="inlineStr">
        <is>
          <t>Annan skogsbruksåtgärd</t>
        </is>
      </c>
      <c r="D691" s="1" t="n">
        <v>45721</v>
      </c>
      <c r="E691" s="1" t="n">
        <v>46218</v>
      </c>
      <c r="F691" t="inlineStr">
        <is>
          <t>VÄSTRA GÖTALANDS LÄN</t>
        </is>
      </c>
      <c r="G691" t="inlineStr">
        <is>
          <t>BENGTSFORS</t>
        </is>
      </c>
      <c r="H691" t="inlineStr">
        <is>
          <t>Kommuner</t>
        </is>
      </c>
      <c r="I691" t="n">
        <v>2.6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s="2" t="inlineStr"/>
    </row>
    <row r="692" ht="15" customHeight="1">
      <c r="A692" t="inlineStr">
        <is>
          <t>S 7780-2021</t>
        </is>
      </c>
      <c r="B692" t="inlineStr">
        <is>
          <t>samrådsanmälan</t>
        </is>
      </c>
      <c r="C692" t="inlineStr">
        <is>
          <t>Annan skogsbruksåtgärd</t>
        </is>
      </c>
      <c r="D692" s="1" t="n">
        <v>44481</v>
      </c>
      <c r="E692" s="1" t="n">
        <v>46218</v>
      </c>
      <c r="F692" t="inlineStr">
        <is>
          <t>VÄSTRA GÖTALANDS LÄN</t>
        </is>
      </c>
      <c r="G692" t="inlineStr">
        <is>
          <t>BENGTSFORS</t>
        </is>
      </c>
      <c r="I692" t="n">
        <v>2.9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s="2" t="inlineStr"/>
    </row>
    <row r="693" ht="15" customHeight="1">
      <c r="A693" t="inlineStr">
        <is>
          <t>S 2612-2025</t>
        </is>
      </c>
      <c r="B693" t="inlineStr">
        <is>
          <t>samrådsanmälan</t>
        </is>
      </c>
      <c r="C693" t="inlineStr">
        <is>
          <t>Annan skogsbruksåtgärd</t>
        </is>
      </c>
      <c r="D693" s="1" t="n">
        <v>45917</v>
      </c>
      <c r="E693" s="1" t="n">
        <v>46218</v>
      </c>
      <c r="F693" t="inlineStr">
        <is>
          <t>VÄSTRA GÖTALANDS LÄN</t>
        </is>
      </c>
      <c r="G693" t="inlineStr">
        <is>
          <t>BENGTSFORS</t>
        </is>
      </c>
      <c r="I693" t="n">
        <v>1.3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s="2" t="inlineStr"/>
    </row>
    <row r="694" ht="15" customHeight="1">
      <c r="A694" t="inlineStr">
        <is>
          <t>S 3077-2025</t>
        </is>
      </c>
      <c r="B694" t="inlineStr">
        <is>
          <t>samrådsanmälan</t>
        </is>
      </c>
      <c r="C694" t="inlineStr">
        <is>
          <t>Annan skogsbruksåtgärd</t>
        </is>
      </c>
      <c r="D694" s="1" t="n">
        <v>45964</v>
      </c>
      <c r="E694" s="1" t="n">
        <v>46218</v>
      </c>
      <c r="F694" t="inlineStr">
        <is>
          <t>VÄSTRA GÖTALANDS LÄN</t>
        </is>
      </c>
      <c r="G694" t="inlineStr">
        <is>
          <t>BENGTSFORS</t>
        </is>
      </c>
      <c r="I694" t="n">
        <v>1.4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s="2" t="inlineStr"/>
    </row>
    <row r="695">
      <c r="A695" t="inlineStr">
        <is>
          <t>S 1696-2026</t>
        </is>
      </c>
      <c r="B695" t="inlineStr">
        <is>
          <t>samrådsanmälan</t>
        </is>
      </c>
      <c r="C695" t="inlineStr">
        <is>
          <t>Askåterföring</t>
        </is>
      </c>
      <c r="D695" s="1" t="n">
        <v>46184</v>
      </c>
      <c r="E695" s="1" t="n">
        <v>46218</v>
      </c>
      <c r="F695" t="inlineStr">
        <is>
          <t>VÄSTRA GÖTALANDS LÄN</t>
        </is>
      </c>
      <c r="G695" t="inlineStr">
        <is>
          <t>BENGTSFORS</t>
        </is>
      </c>
      <c r="I695" t="n">
        <v>26.5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2026-07-15T01:22:58Z</dcterms:created>
  <dcterms:modified xmlns:dcterms="http://purl.org/dc/terms/" xmlns:xsi="http://www.w3.org/2001/XMLSchema-instance" xsi:type="dcterms:W3CDTF">2026-07-15T01:22:59Z</dcterms:modified>
</cp:coreProperties>
</file>