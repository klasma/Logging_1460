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46237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46237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46237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46237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46237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46237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46237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46237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46237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46237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46237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46237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46237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46237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46237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46237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46237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46237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46237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46237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46237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46237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46237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46237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46237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46237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46237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46237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46237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15201-2025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46237</v>
      </c>
      <c r="F31" t="inlineStr">
        <is>
          <t>VÄSTRA GÖTALANDS LÄN</t>
        </is>
      </c>
      <c r="G31" t="inlineStr">
        <is>
          <t>BENGTSFORS</t>
        </is>
      </c>
      <c r="I31" t="n">
        <v>2.3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4</v>
      </c>
      <c r="U31" t="n">
        <v>3</v>
      </c>
      <c r="V31" s="2" t="inlineStr">
        <is>
          <t>Grovticka
Svart trolldruva
Kungsfågel</t>
        </is>
      </c>
      <c r="W31">
        <f>HYPERLINK("https://klasma.github.io/Logging_1460/artfynd/A 15201-2025 artfynd.xlsx", "A 15201-2025")</f>
        <v/>
      </c>
      <c r="X31">
        <f>HYPERLINK("https://klasma.github.io/Logging_1460/kartor/A 15201-2025 karta.png", "A 15201-2025")</f>
        <v/>
      </c>
      <c r="Y31">
        <f>HYPERLINK("https://klasma.github.io/Logging_1460/kartor_geotiff/A 15201-2025 georefererad karta.tif", "A 15201-2025")</f>
        <v/>
      </c>
      <c r="AA31">
        <f>HYPERLINK("https://klasma.github.io/Logging_1460/klagomål/A 15201-2025 FSC-klagomål.docx", "A 15201-2025")</f>
        <v/>
      </c>
      <c r="AB31">
        <f>HYPERLINK("https://klasma.github.io/Logging_1460/klagomålsmail/A 15201-2025 FSC-klagomål mail.docx", "A 15201-2025")</f>
        <v/>
      </c>
      <c r="AC31">
        <f>HYPERLINK("https://klasma.github.io/Logging_1460/tillsyn/A 15201-2025 tillsynsbegäran.docx", "A 15201-2025")</f>
        <v/>
      </c>
      <c r="AD31">
        <f>HYPERLINK("https://klasma.github.io/Logging_1460/tillsynsmail/A 15201-2025 tillsynsbegäran mail.docx", "A 15201-2025")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46237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29195-2026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46237</v>
      </c>
      <c r="F33" t="inlineStr">
        <is>
          <t>VÄSTRA GÖTALANDS LÄN</t>
        </is>
      </c>
      <c r="G33" t="inlineStr">
        <is>
          <t>BENGTSFORS</t>
        </is>
      </c>
      <c r="I33" t="n">
        <v>2.9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Dropptaggsvamp
Talltita
Tofsmes</t>
        </is>
      </c>
      <c r="W33">
        <f>HYPERLINK("https://klasma.github.io/Logging_1460/artfynd/A 29195-2026 artfynd.xlsx", "A 29195-2026")</f>
        <v/>
      </c>
      <c r="X33">
        <f>HYPERLINK("https://klasma.github.io/Logging_1460/kartor/A 29195-2026 karta.png", "A 29195-2026")</f>
        <v/>
      </c>
      <c r="Y33">
        <f>HYPERLINK("https://klasma.github.io/Logging_1460/kartor_geotiff/A 29195-2026 georefererad karta.tif", "A 29195-2026")</f>
        <v/>
      </c>
      <c r="AA33">
        <f>HYPERLINK("https://klasma.github.io/Logging_1460/klagomål/A 29195-2026 FSC-klagomål.docx", "A 29195-2026")</f>
        <v/>
      </c>
      <c r="AB33">
        <f>HYPERLINK("https://klasma.github.io/Logging_1460/klagomålsmail/A 29195-2026 FSC-klagomål mail.docx", "A 29195-2026")</f>
        <v/>
      </c>
      <c r="AC33">
        <f>HYPERLINK("https://klasma.github.io/Logging_1460/tillsyn/A 29195-2026 tillsynsbegäran.docx", "A 29195-2026")</f>
        <v/>
      </c>
      <c r="AD33">
        <f>HYPERLINK("https://klasma.github.io/Logging_1460/tillsynsmail/A 29195-2026 tillsynsbegäran mail.docx", "A 29195-2026")</f>
        <v/>
      </c>
      <c r="AE33">
        <f>HYPERLINK("https://klasma.github.io/Logging_1460/fåglar/A 29195-2026 prioriterade fågelarter.docx", "A 29195-2026")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46237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46237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46237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1582-2022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46237</v>
      </c>
      <c r="F37" t="inlineStr">
        <is>
          <t>VÄSTRA GÖTALANDS LÄN</t>
        </is>
      </c>
      <c r="G37" t="inlineStr">
        <is>
          <t>BENGTSFORS</t>
        </is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5</v>
      </c>
      <c r="U37" t="n">
        <v>5</v>
      </c>
      <c r="V37" s="2" t="inlineStr">
        <is>
          <t>Spillkråka
Grönsiska
Kungsfågel</t>
        </is>
      </c>
      <c r="W37">
        <f>HYPERLINK("https://klasma.github.io/Logging_1460/artfynd/A 1582-2022 artfynd.xlsx", "A 1582-2022")</f>
        <v/>
      </c>
      <c r="X37">
        <f>HYPERLINK("https://klasma.github.io/Logging_1460/kartor/A 1582-2022 karta.png", "A 1582-2022")</f>
        <v/>
      </c>
      <c r="Y37">
        <f>HYPERLINK("https://klasma.github.io/Logging_1460/kartor_geotiff/A 1582-2022 georefererad karta.tif", "A 1582-2022")</f>
        <v/>
      </c>
      <c r="AA37">
        <f>HYPERLINK("https://klasma.github.io/Logging_1460/klagomål/A 1582-2022 FSC-klagomål.docx", "A 1582-2022")</f>
        <v/>
      </c>
      <c r="AB37">
        <f>HYPERLINK("https://klasma.github.io/Logging_1460/klagomålsmail/A 1582-2022 FSC-klagomål mail.docx", "A 1582-2022")</f>
        <v/>
      </c>
      <c r="AC37">
        <f>HYPERLINK("https://klasma.github.io/Logging_1460/tillsyn/A 1582-2022 tillsynsbegäran.docx", "A 1582-2022")</f>
        <v/>
      </c>
      <c r="AD37">
        <f>HYPERLINK("https://klasma.github.io/Logging_1460/tillsynsmail/A 1582-2022 tillsynsbegäran mail.docx", "A 1582-2022")</f>
        <v/>
      </c>
      <c r="AE37">
        <f>HYPERLINK("https://klasma.github.io/Logging_1460/fåglar/A 1582-2022 prioriterade fågelarter.docx", "A 1582-2022")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46237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46237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15556-2024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46237</v>
      </c>
      <c r="F40" t="inlineStr">
        <is>
          <t>VÄSTRA GÖTALANDS LÄN</t>
        </is>
      </c>
      <c r="G40" t="inlineStr">
        <is>
          <t>BENGTSFORS</t>
        </is>
      </c>
      <c r="I40" t="n">
        <v>2.7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Slåttergubbe
Grönvit nattviol</t>
        </is>
      </c>
      <c r="W40">
        <f>HYPERLINK("https://klasma.github.io/Logging_1460/artfynd/A 15556-2024 artfynd.xlsx", "A 15556-2024")</f>
        <v/>
      </c>
      <c r="X40">
        <f>HYPERLINK("https://klasma.github.io/Logging_1460/kartor/A 15556-2024 karta.png", "A 15556-2024")</f>
        <v/>
      </c>
      <c r="Y40">
        <f>HYPERLINK("https://klasma.github.io/Logging_1460/kartor_geotiff/A 15556-2024 georefererad karta.tif", "A 15556-2024")</f>
        <v/>
      </c>
      <c r="AA40">
        <f>HYPERLINK("https://klasma.github.io/Logging_1460/klagomål/A 15556-2024 FSC-klagomål.docx", "A 15556-2024")</f>
        <v/>
      </c>
      <c r="AB40">
        <f>HYPERLINK("https://klasma.github.io/Logging_1460/klagomålsmail/A 15556-2024 FSC-klagomål mail.docx", "A 15556-2024")</f>
        <v/>
      </c>
      <c r="AC40">
        <f>HYPERLINK("https://klasma.github.io/Logging_1460/tillsyn/A 15556-2024 tillsynsbegäran.docx", "A 15556-2024")</f>
        <v/>
      </c>
      <c r="AD40">
        <f>HYPERLINK("https://klasma.github.io/Logging_1460/tillsynsmail/A 15556-2024 tillsynsbegäran mail.docx", "A 15556-2024")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46237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46237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46237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46237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46237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24681-2024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46237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24681-2024 artfynd.xlsx", "A 24681-2024")</f>
        <v/>
      </c>
      <c r="X46">
        <f>HYPERLINK("https://klasma.github.io/Logging_1460/kartor/A 24681-2024 karta.png", "A 24681-2024")</f>
        <v/>
      </c>
      <c r="Y46">
        <f>HYPERLINK("https://klasma.github.io/Logging_1460/kartor_geotiff/A 24681-2024 georefererad karta.tif", "A 24681-2024")</f>
        <v/>
      </c>
      <c r="AA46">
        <f>HYPERLINK("https://klasma.github.io/Logging_1460/klagomål/A 24681-2024 FSC-klagomål.docx", "A 24681-2024")</f>
        <v/>
      </c>
      <c r="AB46">
        <f>HYPERLINK("https://klasma.github.io/Logging_1460/klagomålsmail/A 24681-2024 FSC-klagomål mail.docx", "A 24681-2024")</f>
        <v/>
      </c>
      <c r="AC46">
        <f>HYPERLINK("https://klasma.github.io/Logging_1460/tillsyn/A 24681-2024 tillsynsbegäran.docx", "A 24681-2024")</f>
        <v/>
      </c>
      <c r="AD46">
        <f>HYPERLINK("https://klasma.github.io/Logging_1460/tillsynsmail/A 24681-2024 tillsynsbegäran mail.docx", "A 24681-2024")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46237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46237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46237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46237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46237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46237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46237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46237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46237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46237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HYPERLINK("https://klasma.github.io/Logging_1460/artfynd/A 21300-2023 artfynd.xlsx", "A 21300-2023")</f>
        <v/>
      </c>
      <c r="X56">
        <f>HYPERLINK("https://klasma.github.io/Logging_1460/kartor/A 21300-2023 karta.png", "A 21300-2023")</f>
        <v/>
      </c>
      <c r="Y56">
        <f>HYPERLINK("https://klasma.github.io/Logging_1460/kartor_geotiff/A 21300-2023 georefererad karta.tif", "A 21300-2023")</f>
        <v/>
      </c>
      <c r="AA56">
        <f>HYPERLINK("https://klasma.github.io/Logging_1460/klagomål/A 21300-2023 FSC-klagomål.docx", "A 21300-2023")</f>
        <v/>
      </c>
      <c r="AB56">
        <f>HYPERLINK("https://klasma.github.io/Logging_1460/klagomålsmail/A 21300-2023 FSC-klagomål mail.docx", "A 21300-2023")</f>
        <v/>
      </c>
      <c r="AC56">
        <f>HYPERLINK("https://klasma.github.io/Logging_1460/tillsyn/A 21300-2023 tillsynsbegäran.docx", "A 21300-2023")</f>
        <v/>
      </c>
      <c r="AD56">
        <f>HYPERLINK("https://klasma.github.io/Logging_1460/tillsynsmail/A 21300-2023 tillsynsbegäran mail.docx", "A 21300-2023")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46237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19951-2024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46237</v>
      </c>
      <c r="F58" t="inlineStr">
        <is>
          <t>VÄSTRA GÖTALANDS LÄN</t>
        </is>
      </c>
      <c r="G58" t="inlineStr">
        <is>
          <t>BENGTSFORS</t>
        </is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Skogsklocka</t>
        </is>
      </c>
      <c r="W58">
        <f>HYPERLINK("https://klasma.github.io/Logging_1460/artfynd/A 19951-2024 artfynd.xlsx", "A 19951-2024")</f>
        <v/>
      </c>
      <c r="X58">
        <f>HYPERLINK("https://klasma.github.io/Logging_1460/kartor/A 19951-2024 karta.png", "A 19951-2024")</f>
        <v/>
      </c>
      <c r="Y58">
        <f>HYPERLINK("https://klasma.github.io/Logging_1460/kartor_geotiff/A 19951-2024 georefererad karta.tif", "A 19951-2024")</f>
        <v/>
      </c>
      <c r="AA58">
        <f>HYPERLINK("https://klasma.github.io/Logging_1460/klagomål/A 19951-2024 FSC-klagomål.docx", "A 19951-2024")</f>
        <v/>
      </c>
      <c r="AB58">
        <f>HYPERLINK("https://klasma.github.io/Logging_1460/klagomålsmail/A 19951-2024 FSC-klagomål mail.docx", "A 19951-2024")</f>
        <v/>
      </c>
      <c r="AC58">
        <f>HYPERLINK("https://klasma.github.io/Logging_1460/tillsyn/A 19951-2024 tillsynsbegäran.docx", "A 19951-2024")</f>
        <v/>
      </c>
      <c r="AD58">
        <f>HYPERLINK("https://klasma.github.io/Logging_1460/tillsynsmail/A 19951-2024 tillsynsbegäran mail.docx", "A 19951-2024")</f>
        <v/>
      </c>
    </row>
    <row r="59" ht="15" customHeight="1">
      <c r="A59" t="inlineStr">
        <is>
          <t>A 31710-2022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44776</v>
      </c>
      <c r="E59" s="1" t="n">
        <v>46237</v>
      </c>
      <c r="F59" t="inlineStr">
        <is>
          <t>VÄSTRA GÖTALANDS LÄN</t>
        </is>
      </c>
      <c r="G59" t="inlineStr">
        <is>
          <t>BENGTSFORS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Blåsippa</t>
        </is>
      </c>
      <c r="W59">
        <f>HYPERLINK("https://klasma.github.io/Logging_1460/artfynd/A 31710-2022 artfynd.xlsx", "A 31710-2022")</f>
        <v/>
      </c>
      <c r="X59">
        <f>HYPERLINK("https://klasma.github.io/Logging_1460/kartor/A 31710-2022 karta.png", "A 31710-2022")</f>
        <v/>
      </c>
      <c r="Y59">
        <f>HYPERLINK("https://klasma.github.io/Logging_1460/kartor_geotiff/A 31710-2022 georefererad karta.tif", "A 31710-2022")</f>
        <v/>
      </c>
      <c r="AA59">
        <f>HYPERLINK("https://klasma.github.io/Logging_1460/klagomål/A 31710-2022 FSC-klagomål.docx", "A 31710-2022")</f>
        <v/>
      </c>
      <c r="AB59">
        <f>HYPERLINK("https://klasma.github.io/Logging_1460/klagomålsmail/A 31710-2022 FSC-klagomål mail.docx", "A 31710-2022")</f>
        <v/>
      </c>
      <c r="AC59">
        <f>HYPERLINK("https://klasma.github.io/Logging_1460/tillsyn/A 31710-2022 tillsynsbegäran.docx", "A 31710-2022")</f>
        <v/>
      </c>
      <c r="AD59">
        <f>HYPERLINK("https://klasma.github.io/Logging_1460/tillsynsmail/A 31710-2022 tillsynsbegäran mail.docx", "A 31710-2022")</f>
        <v/>
      </c>
    </row>
    <row r="60" ht="15" customHeight="1">
      <c r="A60" t="inlineStr">
        <is>
          <t>A 29165-2026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46202</v>
      </c>
      <c r="E60" s="1" t="n">
        <v>46237</v>
      </c>
      <c r="F60" t="inlineStr">
        <is>
          <t>VÄSTRA GÖTALANDS LÄN</t>
        </is>
      </c>
      <c r="G60" t="inlineStr">
        <is>
          <t>BENGTSFORS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29165-2026 artfynd.xlsx", "A 29165-2026")</f>
        <v/>
      </c>
      <c r="X60">
        <f>HYPERLINK("https://klasma.github.io/Logging_1460/kartor/A 29165-2026 karta.png", "A 29165-2026")</f>
        <v/>
      </c>
      <c r="Y60">
        <f>HYPERLINK("https://klasma.github.io/Logging_1460/kartor_geotiff/A 29165-2026 georefererad karta.tif", "A 29165-2026")</f>
        <v/>
      </c>
      <c r="AA60">
        <f>HYPERLINK("https://klasma.github.io/Logging_1460/klagomål/A 29165-2026 FSC-klagomål.docx", "A 29165-2026")</f>
        <v/>
      </c>
      <c r="AB60">
        <f>HYPERLINK("https://klasma.github.io/Logging_1460/klagomålsmail/A 29165-2026 FSC-klagomål mail.docx", "A 29165-2026")</f>
        <v/>
      </c>
      <c r="AC60">
        <f>HYPERLINK("https://klasma.github.io/Logging_1460/tillsyn/A 29165-2026 tillsynsbegäran.docx", "A 29165-2026")</f>
        <v/>
      </c>
      <c r="AD60">
        <f>HYPERLINK("https://klasma.github.io/Logging_1460/tillsynsmail/A 29165-2026 tillsynsbegäran mail.docx", "A 29165-2026")</f>
        <v/>
      </c>
      <c r="AE60">
        <f>HYPERLINK("https://klasma.github.io/Logging_1460/fåglar/A 29165-2026 prioriterade fågelarter.docx", "A 29165-2026")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46237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63909-2025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46020</v>
      </c>
      <c r="E62" s="1" t="n">
        <v>46237</v>
      </c>
      <c r="F62" t="inlineStr">
        <is>
          <t>VÄSTRA GÖTALANDS LÄN</t>
        </is>
      </c>
      <c r="G62" t="inlineStr">
        <is>
          <t>BENGTSFORS</t>
        </is>
      </c>
      <c r="I62" t="n">
        <v>7.7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Svinrot</t>
        </is>
      </c>
      <c r="W62">
        <f>HYPERLINK("https://klasma.github.io/Logging_1460/artfynd/A 63909-2025 artfynd.xlsx", "A 63909-2025")</f>
        <v/>
      </c>
      <c r="X62">
        <f>HYPERLINK("https://klasma.github.io/Logging_1460/kartor/A 63909-2025 karta.png", "A 63909-2025")</f>
        <v/>
      </c>
      <c r="Y62">
        <f>HYPERLINK("https://klasma.github.io/Logging_1460/kartor_geotiff/A 63909-2025 georefererad karta.tif", "A 63909-2025")</f>
        <v/>
      </c>
      <c r="AA62">
        <f>HYPERLINK("https://klasma.github.io/Logging_1460/klagomål/A 63909-2025 FSC-klagomål.docx", "A 63909-2025")</f>
        <v/>
      </c>
      <c r="AB62">
        <f>HYPERLINK("https://klasma.github.io/Logging_1460/klagomålsmail/A 63909-2025 FSC-klagomål mail.docx", "A 63909-2025")</f>
        <v/>
      </c>
      <c r="AC62">
        <f>HYPERLINK("https://klasma.github.io/Logging_1460/tillsyn/A 63909-2025 tillsynsbegäran.docx", "A 63909-2025")</f>
        <v/>
      </c>
      <c r="AD62">
        <f>HYPERLINK("https://klasma.github.io/Logging_1460/tillsynsmail/A 63909-2025 tillsynsbegäran mail.docx", "A 63909-2025")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46237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46237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49595-2024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46237</v>
      </c>
      <c r="F65" t="inlineStr">
        <is>
          <t>VÄSTRA GÖTALANDS LÄN</t>
        </is>
      </c>
      <c r="G65" t="inlineStr">
        <is>
          <t>BENGTSFORS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HYPERLINK("https://klasma.github.io/Logging_1460/artfynd/A 49595-2024 artfynd.xlsx", "A 49595-2024")</f>
        <v/>
      </c>
      <c r="X65">
        <f>HYPERLINK("https://klasma.github.io/Logging_1460/kartor/A 49595-2024 karta.png", "A 49595-2024")</f>
        <v/>
      </c>
      <c r="Y65">
        <f>HYPERLINK("https://klasma.github.io/Logging_1460/kartor_geotiff/A 49595-2024 georefererad karta.tif", "A 49595-2024")</f>
        <v/>
      </c>
      <c r="AA65">
        <f>HYPERLINK("https://klasma.github.io/Logging_1460/klagomål/A 49595-2024 FSC-klagomål.docx", "A 49595-2024")</f>
        <v/>
      </c>
      <c r="AB65">
        <f>HYPERLINK("https://klasma.github.io/Logging_1460/klagomålsmail/A 49595-2024 FSC-klagomål mail.docx", "A 49595-2024")</f>
        <v/>
      </c>
      <c r="AC65">
        <f>HYPERLINK("https://klasma.github.io/Logging_1460/tillsyn/A 49595-2024 tillsynsbegäran.docx", "A 49595-2024")</f>
        <v/>
      </c>
      <c r="AD65">
        <f>HYPERLINK("https://klasma.github.io/Logging_1460/tillsynsmail/A 49595-2024 tillsynsbegäran mail.docx", "A 49595-2024")</f>
        <v/>
      </c>
      <c r="AE65">
        <f>HYPERLINK("https://klasma.github.io/Logging_1460/fåglar/A 49595-2024 prioriterade fågelarter.docx", "A 49595-2024")</f>
        <v/>
      </c>
    </row>
    <row r="66" ht="15" customHeight="1">
      <c r="A66" t="inlineStr">
        <is>
          <t>A 7325-2026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46237</v>
      </c>
      <c r="F66" t="inlineStr">
        <is>
          <t>VÄSTRA GÖTALANDS LÄN</t>
        </is>
      </c>
      <c r="G66" t="inlineStr">
        <is>
          <t>BENGTSFORS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Kattfotslav</t>
        </is>
      </c>
      <c r="W66">
        <f>HYPERLINK("https://klasma.github.io/Logging_1460/artfynd/A 7325-2026 artfynd.xlsx", "A 7325-2026")</f>
        <v/>
      </c>
      <c r="X66">
        <f>HYPERLINK("https://klasma.github.io/Logging_1460/kartor/A 7325-2026 karta.png", "A 7325-2026")</f>
        <v/>
      </c>
      <c r="Y66">
        <f>HYPERLINK("https://klasma.github.io/Logging_1460/kartor_geotiff/A 7325-2026 georefererad karta.tif", "A 7325-2026")</f>
        <v/>
      </c>
      <c r="AA66">
        <f>HYPERLINK("https://klasma.github.io/Logging_1460/klagomål/A 7325-2026 FSC-klagomål.docx", "A 7325-2026")</f>
        <v/>
      </c>
      <c r="AB66">
        <f>HYPERLINK("https://klasma.github.io/Logging_1460/klagomålsmail/A 7325-2026 FSC-klagomål mail.docx", "A 7325-2026")</f>
        <v/>
      </c>
      <c r="AC66">
        <f>HYPERLINK("https://klasma.github.io/Logging_1460/tillsyn/A 7325-2026 tillsynsbegäran.docx", "A 7325-2026")</f>
        <v/>
      </c>
      <c r="AD66">
        <f>HYPERLINK("https://klasma.github.io/Logging_1460/tillsynsmail/A 7325-2026 tillsynsbegäran mail.docx", "A 7325-2026")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46237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56006-2022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46237</v>
      </c>
      <c r="F68" t="inlineStr">
        <is>
          <t>VÄSTRA GÖTALANDS LÄN</t>
        </is>
      </c>
      <c r="G68" t="inlineStr">
        <is>
          <t>BENGTSFORS</t>
        </is>
      </c>
      <c r="I68" t="n">
        <v>6.4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Västlig hakmossa</t>
        </is>
      </c>
      <c r="W68">
        <f>HYPERLINK("https://klasma.github.io/Logging_1460/artfynd/A 56006-2022 artfynd.xlsx", "A 56006-2022")</f>
        <v/>
      </c>
      <c r="X68">
        <f>HYPERLINK("https://klasma.github.io/Logging_1460/kartor/A 56006-2022 karta.png", "A 56006-2022")</f>
        <v/>
      </c>
      <c r="Y68">
        <f>HYPERLINK("https://klasma.github.io/Logging_1460/kartor_geotiff/A 56006-2022 georefererad karta.tif", "A 56006-2022")</f>
        <v/>
      </c>
      <c r="AA68">
        <f>HYPERLINK("https://klasma.github.io/Logging_1460/klagomål/A 56006-2022 FSC-klagomål.docx", "A 56006-2022")</f>
        <v/>
      </c>
      <c r="AB68">
        <f>HYPERLINK("https://klasma.github.io/Logging_1460/klagomålsmail/A 56006-2022 FSC-klagomål mail.docx", "A 56006-2022")</f>
        <v/>
      </c>
      <c r="AC68">
        <f>HYPERLINK("https://klasma.github.io/Logging_1460/tillsyn/A 56006-2022 tillsynsbegäran.docx", "A 56006-2022")</f>
        <v/>
      </c>
      <c r="AD68">
        <f>HYPERLINK("https://klasma.github.io/Logging_1460/tillsynsmail/A 56006-2022 tillsynsbegäran mail.docx", "A 56006-2022")</f>
        <v/>
      </c>
    </row>
    <row r="69" ht="15" customHeight="1">
      <c r="A69" t="inlineStr">
        <is>
          <t>A 8542-2024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46237</v>
      </c>
      <c r="F69" t="inlineStr">
        <is>
          <t>VÄSTRA GÖTALANDS LÄN</t>
        </is>
      </c>
      <c r="G69" t="inlineStr">
        <is>
          <t>BENGTSFORS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Ärtsångare</t>
        </is>
      </c>
      <c r="W69">
        <f>HYPERLINK("https://klasma.github.io/Logging_1460/artfynd/A 8542-2024 artfynd.xlsx", "A 8542-2024")</f>
        <v/>
      </c>
      <c r="X69">
        <f>HYPERLINK("https://klasma.github.io/Logging_1460/kartor/A 8542-2024 karta.png", "A 8542-2024")</f>
        <v/>
      </c>
      <c r="Y69">
        <f>HYPERLINK("https://klasma.github.io/Logging_1460/kartor_geotiff/A 8542-2024 georefererad karta.tif", "A 8542-2024")</f>
        <v/>
      </c>
      <c r="AA69">
        <f>HYPERLINK("https://klasma.github.io/Logging_1460/klagomål/A 8542-2024 FSC-klagomål.docx", "A 8542-2024")</f>
        <v/>
      </c>
      <c r="AB69">
        <f>HYPERLINK("https://klasma.github.io/Logging_1460/klagomålsmail/A 8542-2024 FSC-klagomål mail.docx", "A 8542-2024")</f>
        <v/>
      </c>
      <c r="AC69">
        <f>HYPERLINK("https://klasma.github.io/Logging_1460/tillsyn/A 8542-2024 tillsynsbegäran.docx", "A 8542-2024")</f>
        <v/>
      </c>
      <c r="AD69">
        <f>HYPERLINK("https://klasma.github.io/Logging_1460/tillsynsmail/A 8542-2024 tillsynsbegäran mail.docx", "A 8542-2024")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46237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46237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29226-2022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46237</v>
      </c>
      <c r="F72" t="inlineStr">
        <is>
          <t>VÄSTRA GÖTALANDS LÄN</t>
        </is>
      </c>
      <c r="G72" t="inlineStr">
        <is>
          <t>BENGTSFORS</t>
        </is>
      </c>
      <c r="I72" t="n">
        <v>8.1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HYPERLINK("https://klasma.github.io/Logging_1460/artfynd/A 29226-2022 artfynd.xlsx", "A 29226-2022")</f>
        <v/>
      </c>
      <c r="X72">
        <f>HYPERLINK("https://klasma.github.io/Logging_1460/kartor/A 29226-2022 karta.png", "A 29226-2022")</f>
        <v/>
      </c>
      <c r="Y72">
        <f>HYPERLINK("https://klasma.github.io/Logging_1460/kartor_geotiff/A 29226-2022 georefererad karta.tif", "A 29226-2022")</f>
        <v/>
      </c>
      <c r="AA72">
        <f>HYPERLINK("https://klasma.github.io/Logging_1460/klagomål/A 29226-2022 FSC-klagomål.docx", "A 29226-2022")</f>
        <v/>
      </c>
      <c r="AB72">
        <f>HYPERLINK("https://klasma.github.io/Logging_1460/klagomålsmail/A 29226-2022 FSC-klagomål mail.docx", "A 29226-2022")</f>
        <v/>
      </c>
      <c r="AC72">
        <f>HYPERLINK("https://klasma.github.io/Logging_1460/tillsyn/A 29226-2022 tillsynsbegäran.docx", "A 29226-2022")</f>
        <v/>
      </c>
      <c r="AD72">
        <f>HYPERLINK("https://klasma.github.io/Logging_1460/tillsynsmail/A 29226-2022 tillsynsbegäran mail.docx", "A 29226-2022")</f>
        <v/>
      </c>
      <c r="AE72">
        <f>HYPERLINK("https://klasma.github.io/Logging_1460/fåglar/A 29226-2022 prioriterade fågelarter.docx", "A 29226-2022")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46237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39804-2021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46237</v>
      </c>
      <c r="F74" t="inlineStr">
        <is>
          <t>VÄSTRA GÖTALANDS LÄN</t>
        </is>
      </c>
      <c r="G74" t="inlineStr">
        <is>
          <t>BENGTSFORS</t>
        </is>
      </c>
      <c r="I74" t="n">
        <v>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HYPERLINK("https://klasma.github.io/Logging_1460/artfynd/A 39804-2021 artfynd.xlsx", "A 39804-2021")</f>
        <v/>
      </c>
      <c r="X74">
        <f>HYPERLINK("https://klasma.github.io/Logging_1460/kartor/A 39804-2021 karta.png", "A 39804-2021")</f>
        <v/>
      </c>
      <c r="Y74">
        <f>HYPERLINK("https://klasma.github.io/Logging_1460/kartor_geotiff/A 39804-2021 georefererad karta.tif", "A 39804-2021")</f>
        <v/>
      </c>
      <c r="AA74">
        <f>HYPERLINK("https://klasma.github.io/Logging_1460/klagomål/A 39804-2021 FSC-klagomål.docx", "A 39804-2021")</f>
        <v/>
      </c>
      <c r="AB74">
        <f>HYPERLINK("https://klasma.github.io/Logging_1460/klagomålsmail/A 39804-2021 FSC-klagomål mail.docx", "A 39804-2021")</f>
        <v/>
      </c>
      <c r="AC74">
        <f>HYPERLINK("https://klasma.github.io/Logging_1460/tillsyn/A 39804-2021 tillsynsbegäran.docx", "A 39804-2021")</f>
        <v/>
      </c>
      <c r="AD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46237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46237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51053-2022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46237</v>
      </c>
      <c r="F77" t="inlineStr">
        <is>
          <t>VÄSTRA GÖTALANDS LÄN</t>
        </is>
      </c>
      <c r="G77" t="inlineStr">
        <is>
          <t>BENGTSFORS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Bronshjon</t>
        </is>
      </c>
      <c r="W77">
        <f>HYPERLINK("https://klasma.github.io/Logging_1460/artfynd/A 51053-2022 artfynd.xlsx", "A 51053-2022")</f>
        <v/>
      </c>
      <c r="X77">
        <f>HYPERLINK("https://klasma.github.io/Logging_1460/kartor/A 51053-2022 karta.png", "A 51053-2022")</f>
        <v/>
      </c>
      <c r="Y77">
        <f>HYPERLINK("https://klasma.github.io/Logging_1460/kartor_geotiff/A 51053-2022 georefererad karta.tif", "A 51053-2022")</f>
        <v/>
      </c>
      <c r="AA77">
        <f>HYPERLINK("https://klasma.github.io/Logging_1460/klagomål/A 51053-2022 FSC-klagomål.docx", "A 51053-2022")</f>
        <v/>
      </c>
      <c r="AB77">
        <f>HYPERLINK("https://klasma.github.io/Logging_1460/klagomålsmail/A 51053-2022 FSC-klagomål mail.docx", "A 51053-2022")</f>
        <v/>
      </c>
      <c r="AC77">
        <f>HYPERLINK("https://klasma.github.io/Logging_1460/tillsyn/A 51053-2022 tillsynsbegäran.docx", "A 51053-2022")</f>
        <v/>
      </c>
      <c r="AD77">
        <f>HYPERLINK("https://klasma.github.io/Logging_1460/tillsynsmail/A 51053-2022 tillsynsbegäran mail.docx", "A 51053-2022")</f>
        <v/>
      </c>
    </row>
    <row r="78" ht="15" customHeight="1">
      <c r="A78" t="inlineStr">
        <is>
          <t>A 28783-2025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46237</v>
      </c>
      <c r="F78" t="inlineStr">
        <is>
          <t>VÄSTRA GÖTALANDS LÄN</t>
        </is>
      </c>
      <c r="G78" t="inlineStr">
        <is>
          <t>BENGTSFORS</t>
        </is>
      </c>
      <c r="I78" t="n">
        <v>2.2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HYPERLINK("https://klasma.github.io/Logging_1460/artfynd/A 28783-2025 artfynd.xlsx", "A 28783-2025")</f>
        <v/>
      </c>
      <c r="X78">
        <f>HYPERLINK("https://klasma.github.io/Logging_1460/kartor/A 28783-2025 karta.png", "A 28783-2025")</f>
        <v/>
      </c>
      <c r="Y78">
        <f>HYPERLINK("https://klasma.github.io/Logging_1460/kartor_geotiff/A 28783-2025 georefererad karta.tif", "A 28783-2025")</f>
        <v/>
      </c>
      <c r="AA78">
        <f>HYPERLINK("https://klasma.github.io/Logging_1460/klagomål/A 28783-2025 FSC-klagomål.docx", "A 28783-2025")</f>
        <v/>
      </c>
      <c r="AB78">
        <f>HYPERLINK("https://klasma.github.io/Logging_1460/klagomålsmail/A 28783-2025 FSC-klagomål mail.docx", "A 28783-2025")</f>
        <v/>
      </c>
      <c r="AC78">
        <f>HYPERLINK("https://klasma.github.io/Logging_1460/tillsyn/A 28783-2025 tillsynsbegäran.docx", "A 28783-2025")</f>
        <v/>
      </c>
      <c r="AD78">
        <f>HYPERLINK("https://klasma.github.io/Logging_1460/tillsynsmail/A 28783-2025 tillsynsbegäran mail.docx", "A 28783-2025")</f>
        <v/>
      </c>
    </row>
    <row r="79" ht="15" customHeight="1">
      <c r="A79" t="inlineStr">
        <is>
          <t>A 11049-2025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46237</v>
      </c>
      <c r="F79" t="inlineStr">
        <is>
          <t>VÄSTRA GÖTALANDS LÄN</t>
        </is>
      </c>
      <c r="G79" t="inlineStr">
        <is>
          <t>BENGTSFORS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HYPERLINK("https://klasma.github.io/Logging_1460/artfynd/A 11049-2025 artfynd.xlsx", "A 11049-2025")</f>
        <v/>
      </c>
      <c r="X79">
        <f>HYPERLINK("https://klasma.github.io/Logging_1460/kartor/A 11049-2025 karta.png", "A 11049-2025")</f>
        <v/>
      </c>
      <c r="Y79">
        <f>HYPERLINK("https://klasma.github.io/Logging_1460/kartor_geotiff/A 11049-2025 georefererad karta.tif", "A 11049-2025")</f>
        <v/>
      </c>
      <c r="AA79">
        <f>HYPERLINK("https://klasma.github.io/Logging_1460/klagomål/A 11049-2025 FSC-klagomål.docx", "A 11049-2025")</f>
        <v/>
      </c>
      <c r="AB79">
        <f>HYPERLINK("https://klasma.github.io/Logging_1460/klagomålsmail/A 11049-2025 FSC-klagomål mail.docx", "A 11049-2025")</f>
        <v/>
      </c>
      <c r="AC79">
        <f>HYPERLINK("https://klasma.github.io/Logging_1460/tillsyn/A 11049-2025 tillsynsbegäran.docx", "A 11049-2025")</f>
        <v/>
      </c>
      <c r="AD79">
        <f>HYPERLINK("https://klasma.github.io/Logging_1460/tillsynsmail/A 11049-2025 tillsynsbegäran mail.docx", "A 11049-2025")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46237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46237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46237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46237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46237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46237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46237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46237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46237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46237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46237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46237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46237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46237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46237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46237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46237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46237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46237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46237</v>
      </c>
      <c r="F99" t="inlineStr">
        <is>
          <t>VÄSTRA GÖTALANDS LÄN</t>
        </is>
      </c>
      <c r="G99" t="inlineStr">
        <is>
          <t>BENGTSFORS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46237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46237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46237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46237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46237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46237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46237</v>
      </c>
      <c r="F106" t="inlineStr">
        <is>
          <t>VÄSTRA GÖTALANDS LÄN</t>
        </is>
      </c>
      <c r="G106" t="inlineStr">
        <is>
          <t>BENGTSFORS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46237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46237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46237</v>
      </c>
      <c r="F109" t="inlineStr">
        <is>
          <t>VÄSTRA GÖTALANDS LÄN</t>
        </is>
      </c>
      <c r="G109" t="inlineStr">
        <is>
          <t>BENGTSFORS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46237</v>
      </c>
      <c r="F110" t="inlineStr">
        <is>
          <t>VÄSTRA GÖTALANDS LÄN</t>
        </is>
      </c>
      <c r="G110" t="inlineStr">
        <is>
          <t>BENGTSFORS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46237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46237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46237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46237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46237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46237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46237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46237</v>
      </c>
      <c r="F118" t="inlineStr">
        <is>
          <t>VÄSTRA GÖTALANDS LÄN</t>
        </is>
      </c>
      <c r="G118" t="inlineStr">
        <is>
          <t>BENGTSFORS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46237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46237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46237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46237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46237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46237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46237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46237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46237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46237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46237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46237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46237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46237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46237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46237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46237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46237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46237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46237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46237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46237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46237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46237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46237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46237</v>
      </c>
      <c r="F144" t="inlineStr">
        <is>
          <t>VÄSTRA GÖTALANDS LÄN</t>
        </is>
      </c>
      <c r="G144" t="inlineStr">
        <is>
          <t>BENGTSFORS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45516</v>
      </c>
      <c r="E145" s="1" t="n">
        <v>46237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44861</v>
      </c>
      <c r="E146" s="1" t="n">
        <v>46237</v>
      </c>
      <c r="F146" t="inlineStr">
        <is>
          <t>VÄSTRA GÖTALANDS LÄN</t>
        </is>
      </c>
      <c r="G146" t="inlineStr">
        <is>
          <t>BENGTSFORS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46237</v>
      </c>
      <c r="F147" t="inlineStr">
        <is>
          <t>VÄSTRA GÖTALANDS LÄN</t>
        </is>
      </c>
      <c r="G147" t="inlineStr">
        <is>
          <t>BENGTSFORS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46237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46237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Kyrkan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46237</v>
      </c>
      <c r="F150" t="inlineStr">
        <is>
          <t>VÄSTRA GÖTALANDS LÄN</t>
        </is>
      </c>
      <c r="G150" t="inlineStr">
        <is>
          <t>BENGTSFORS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46237</v>
      </c>
      <c r="F151" t="inlineStr">
        <is>
          <t>VÄSTRA GÖTALANDS LÄN</t>
        </is>
      </c>
      <c r="G151" t="inlineStr">
        <is>
          <t>BENGTSFORS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44437</v>
      </c>
      <c r="E152" s="1" t="n">
        <v>46237</v>
      </c>
      <c r="F152" t="inlineStr">
        <is>
          <t>VÄSTRA GÖTALANDS LÄN</t>
        </is>
      </c>
      <c r="G152" t="inlineStr">
        <is>
          <t>BENGTSFORS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46237</v>
      </c>
      <c r="F153" t="inlineStr">
        <is>
          <t>VÄSTRA GÖTALANDS LÄN</t>
        </is>
      </c>
      <c r="G153" t="inlineStr">
        <is>
          <t>BENGTSFORS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46237</v>
      </c>
      <c r="F154" t="inlineStr">
        <is>
          <t>VÄSTRA GÖTALANDS LÄN</t>
        </is>
      </c>
      <c r="G154" t="inlineStr">
        <is>
          <t>BENGTSFORS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46237</v>
      </c>
      <c r="F155" t="inlineStr">
        <is>
          <t>VÄSTRA GÖTALANDS LÄN</t>
        </is>
      </c>
      <c r="G155" t="inlineStr">
        <is>
          <t>BENGTSFORS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46237</v>
      </c>
      <c r="F156" t="inlineStr">
        <is>
          <t>VÄSTRA GÖTALANDS LÄN</t>
        </is>
      </c>
      <c r="G156" t="inlineStr">
        <is>
          <t>BENGTSFORS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45309</v>
      </c>
      <c r="E157" s="1" t="n">
        <v>46237</v>
      </c>
      <c r="F157" t="inlineStr">
        <is>
          <t>VÄSTRA GÖTALANDS LÄN</t>
        </is>
      </c>
      <c r="G157" t="inlineStr">
        <is>
          <t>BENGTSFORS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46237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54309-2021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44472</v>
      </c>
      <c r="E159" s="1" t="n">
        <v>46237</v>
      </c>
      <c r="F159" t="inlineStr">
        <is>
          <t>VÄSTRA GÖTALANDS LÄN</t>
        </is>
      </c>
      <c r="G159" t="inlineStr">
        <is>
          <t>BENGTSFORS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44513</v>
      </c>
      <c r="E160" s="1" t="n">
        <v>46237</v>
      </c>
      <c r="F160" t="inlineStr">
        <is>
          <t>VÄSTRA GÖTALANDS LÄN</t>
        </is>
      </c>
      <c r="G160" t="inlineStr">
        <is>
          <t>BENGTSFORS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44421</v>
      </c>
      <c r="E161" s="1" t="n">
        <v>46237</v>
      </c>
      <c r="F161" t="inlineStr">
        <is>
          <t>VÄSTRA GÖTALANDS LÄN</t>
        </is>
      </c>
      <c r="G161" t="inlineStr">
        <is>
          <t>BENGTSFORS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46237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46237</v>
      </c>
      <c r="F163" t="inlineStr">
        <is>
          <t>VÄSTRA GÖTALANDS LÄN</t>
        </is>
      </c>
      <c r="G163" t="inlineStr">
        <is>
          <t>BENGTSFORS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40295-2022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44821</v>
      </c>
      <c r="E164" s="1" t="n">
        <v>46237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44944</v>
      </c>
      <c r="E165" s="1" t="n">
        <v>46237</v>
      </c>
      <c r="F165" t="inlineStr">
        <is>
          <t>VÄSTRA GÖTALANDS LÄN</t>
        </is>
      </c>
      <c r="G165" t="inlineStr">
        <is>
          <t>BENGTSFORS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46237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46237</v>
      </c>
      <c r="F167" t="inlineStr">
        <is>
          <t>VÄSTRA GÖTALANDS LÄN</t>
        </is>
      </c>
      <c r="G167" t="inlineStr">
        <is>
          <t>BENGTSFORS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44497</v>
      </c>
      <c r="E168" s="1" t="n">
        <v>46237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46237</v>
      </c>
      <c r="F169" t="inlineStr">
        <is>
          <t>VÄSTRA GÖTALANDS LÄN</t>
        </is>
      </c>
      <c r="G169" t="inlineStr">
        <is>
          <t>BENGTSFORS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46237</v>
      </c>
      <c r="F170" t="inlineStr">
        <is>
          <t>VÄSTRA GÖTALANDS LÄN</t>
        </is>
      </c>
      <c r="G170" t="inlineStr">
        <is>
          <t>BENGTSFORS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46237</v>
      </c>
      <c r="F171" t="inlineStr">
        <is>
          <t>VÄSTRA GÖTALANDS LÄN</t>
        </is>
      </c>
      <c r="G171" t="inlineStr">
        <is>
          <t>BENGTSFORS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46237</v>
      </c>
      <c r="F172" t="inlineStr">
        <is>
          <t>VÄSTRA GÖTALANDS LÄN</t>
        </is>
      </c>
      <c r="G172" t="inlineStr">
        <is>
          <t>BENGTSFORS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46237</v>
      </c>
      <c r="F173" t="inlineStr">
        <is>
          <t>VÄSTRA GÖTALANDS LÄN</t>
        </is>
      </c>
      <c r="G173" t="inlineStr">
        <is>
          <t>BENGTSFORS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46237</v>
      </c>
      <c r="F174" t="inlineStr">
        <is>
          <t>VÄSTRA GÖTALANDS LÄN</t>
        </is>
      </c>
      <c r="G174" t="inlineStr">
        <is>
          <t>BENGTSFORS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44488</v>
      </c>
      <c r="E175" s="1" t="n">
        <v>46237</v>
      </c>
      <c r="F175" t="inlineStr">
        <is>
          <t>VÄSTRA GÖTALANDS LÄN</t>
        </is>
      </c>
      <c r="G175" t="inlineStr">
        <is>
          <t>BENGTSFORS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46237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46237</v>
      </c>
      <c r="F177" t="inlineStr">
        <is>
          <t>VÄSTRA GÖTALANDS LÄN</t>
        </is>
      </c>
      <c r="G177" t="inlineStr">
        <is>
          <t>BENGTSFORS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46237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46237</v>
      </c>
      <c r="F179" t="inlineStr">
        <is>
          <t>VÄSTRA GÖTALANDS LÄN</t>
        </is>
      </c>
      <c r="G179" t="inlineStr">
        <is>
          <t>BENGTSFORS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46237</v>
      </c>
      <c r="F180" t="inlineStr">
        <is>
          <t>VÄSTRA GÖTALANDS LÄN</t>
        </is>
      </c>
      <c r="G180" t="inlineStr">
        <is>
          <t>BENGTSFORS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46237</v>
      </c>
      <c r="F181" t="inlineStr">
        <is>
          <t>VÄSTRA GÖTALANDS LÄN</t>
        </is>
      </c>
      <c r="G181" t="inlineStr">
        <is>
          <t>BENGTSFORS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46237</v>
      </c>
      <c r="F182" t="inlineStr">
        <is>
          <t>VÄSTRA GÖTALANDS LÄN</t>
        </is>
      </c>
      <c r="G182" t="inlineStr">
        <is>
          <t>BENGTSFORS</t>
        </is>
      </c>
      <c r="I182" t="n">
        <v>14.5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46237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46237</v>
      </c>
      <c r="F184" t="inlineStr">
        <is>
          <t>VÄSTRA GÖTALANDS LÄN</t>
        </is>
      </c>
      <c r="G184" t="inlineStr">
        <is>
          <t>BENGTSFORS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46237</v>
      </c>
      <c r="F185" t="inlineStr">
        <is>
          <t>VÄSTRA GÖTALANDS LÄN</t>
        </is>
      </c>
      <c r="G185" t="inlineStr">
        <is>
          <t>BENGTSFORS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46237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43336-2021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44432</v>
      </c>
      <c r="E187" s="1" t="n">
        <v>46237</v>
      </c>
      <c r="F187" t="inlineStr">
        <is>
          <t>VÄSTRA GÖTALANDS LÄN</t>
        </is>
      </c>
      <c r="G187" t="inlineStr">
        <is>
          <t>BENGTSFORS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46237</v>
      </c>
      <c r="F188" t="inlineStr">
        <is>
          <t>VÄSTRA GÖTALANDS LÄN</t>
        </is>
      </c>
      <c r="G188" t="inlineStr">
        <is>
          <t>BENGTSFORS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46237</v>
      </c>
      <c r="F189" t="inlineStr">
        <is>
          <t>VÄSTRA GÖTALANDS LÄN</t>
        </is>
      </c>
      <c r="G189" t="inlineStr">
        <is>
          <t>BENGTSFORS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46237</v>
      </c>
      <c r="F190" t="inlineStr">
        <is>
          <t>VÄSTRA GÖTALANDS LÄN</t>
        </is>
      </c>
      <c r="G190" t="inlineStr">
        <is>
          <t>BENGTSFORS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44907</v>
      </c>
      <c r="E191" s="1" t="n">
        <v>46237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46237</v>
      </c>
      <c r="F192" t="inlineStr">
        <is>
          <t>VÄSTRA GÖTALANDS LÄN</t>
        </is>
      </c>
      <c r="G192" t="inlineStr">
        <is>
          <t>BENGTSFORS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46237</v>
      </c>
      <c r="F193" t="inlineStr">
        <is>
          <t>VÄSTRA GÖTALANDS LÄN</t>
        </is>
      </c>
      <c r="G193" t="inlineStr">
        <is>
          <t>BENGTSFORS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46237</v>
      </c>
      <c r="F194" t="inlineStr">
        <is>
          <t>VÄSTRA GÖTALANDS LÄN</t>
        </is>
      </c>
      <c r="G194" t="inlineStr">
        <is>
          <t>BENGTSFORS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46237</v>
      </c>
      <c r="F195" t="inlineStr">
        <is>
          <t>VÄSTRA GÖTALANDS LÄN</t>
        </is>
      </c>
      <c r="G195" t="inlineStr">
        <is>
          <t>BENGTSFORS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46237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73594-2021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46237</v>
      </c>
      <c r="F197" t="inlineStr">
        <is>
          <t>VÄSTRA GÖTALANDS LÄN</t>
        </is>
      </c>
      <c r="G197" t="inlineStr">
        <is>
          <t>BENGTSFORS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46237</v>
      </c>
      <c r="F198" t="inlineStr">
        <is>
          <t>VÄSTRA GÖTALANDS LÄN</t>
        </is>
      </c>
      <c r="G198" t="inlineStr">
        <is>
          <t>BENGTSFORS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44929</v>
      </c>
      <c r="E199" s="1" t="n">
        <v>46237</v>
      </c>
      <c r="F199" t="inlineStr">
        <is>
          <t>VÄSTRA GÖTALANDS LÄN</t>
        </is>
      </c>
      <c r="G199" t="inlineStr">
        <is>
          <t>BENGTSFORS</t>
        </is>
      </c>
      <c r="H199" t="inlineStr">
        <is>
          <t>Kyrkan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46237</v>
      </c>
      <c r="F200" t="inlineStr">
        <is>
          <t>VÄSTRA GÖTALANDS LÄN</t>
        </is>
      </c>
      <c r="G200" t="inlineStr">
        <is>
          <t>BENGTSFORS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45302</v>
      </c>
      <c r="E201" s="1" t="n">
        <v>46237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46237</v>
      </c>
      <c r="F202" t="inlineStr">
        <is>
          <t>VÄSTRA GÖTALANDS LÄN</t>
        </is>
      </c>
      <c r="G202" t="inlineStr">
        <is>
          <t>BENGTSFORS</t>
        </is>
      </c>
      <c r="H202" t="inlineStr">
        <is>
          <t>Kommuner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46237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46237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46237</v>
      </c>
      <c r="F205" t="inlineStr">
        <is>
          <t>VÄSTRA GÖTALANDS LÄN</t>
        </is>
      </c>
      <c r="G205" t="inlineStr">
        <is>
          <t>BENGTSFORS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46237</v>
      </c>
      <c r="F206" t="inlineStr">
        <is>
          <t>VÄSTRA GÖTALANDS LÄN</t>
        </is>
      </c>
      <c r="G206" t="inlineStr">
        <is>
          <t>BENGTSFORS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46237</v>
      </c>
      <c r="F207" t="inlineStr">
        <is>
          <t>VÄSTRA GÖTALANDS LÄN</t>
        </is>
      </c>
      <c r="G207" t="inlineStr">
        <is>
          <t>BENGTSFORS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46237</v>
      </c>
      <c r="F208" t="inlineStr">
        <is>
          <t>VÄSTRA GÖTALANDS LÄN</t>
        </is>
      </c>
      <c r="G208" t="inlineStr">
        <is>
          <t>BENGTSFORS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45886</v>
      </c>
      <c r="E209" s="1" t="n">
        <v>46237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46237</v>
      </c>
      <c r="F210" t="inlineStr">
        <is>
          <t>VÄSTRA GÖTALANDS LÄN</t>
        </is>
      </c>
      <c r="G210" t="inlineStr">
        <is>
          <t>BENGTSFORS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46237</v>
      </c>
      <c r="F211" t="inlineStr">
        <is>
          <t>VÄSTRA GÖTALANDS LÄN</t>
        </is>
      </c>
      <c r="G211" t="inlineStr">
        <is>
          <t>BENGTSFORS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46237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46237</v>
      </c>
      <c r="F213" t="inlineStr">
        <is>
          <t>VÄSTRA GÖTALANDS LÄN</t>
        </is>
      </c>
      <c r="G213" t="inlineStr">
        <is>
          <t>BENGTSFORS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44866</v>
      </c>
      <c r="E214" s="1" t="n">
        <v>46237</v>
      </c>
      <c r="F214" t="inlineStr">
        <is>
          <t>VÄSTRA GÖTALANDS LÄN</t>
        </is>
      </c>
      <c r="G214" t="inlineStr">
        <is>
          <t>BENGTSFORS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39607-2025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45890</v>
      </c>
      <c r="E215" s="1" t="n">
        <v>46237</v>
      </c>
      <c r="F215" t="inlineStr">
        <is>
          <t>VÄSTRA GÖTALANDS LÄN</t>
        </is>
      </c>
      <c r="G215" t="inlineStr">
        <is>
          <t>BENGTSFORS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46237</v>
      </c>
      <c r="F216" t="inlineStr">
        <is>
          <t>VÄSTRA GÖTALANDS LÄN</t>
        </is>
      </c>
      <c r="G216" t="inlineStr">
        <is>
          <t>BENGTSFORS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46237</v>
      </c>
      <c r="F217" t="inlineStr">
        <is>
          <t>VÄSTRA GÖTALANDS LÄN</t>
        </is>
      </c>
      <c r="G217" t="inlineStr">
        <is>
          <t>BENGTSFORS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46237</v>
      </c>
      <c r="F218" t="inlineStr">
        <is>
          <t>VÄSTRA GÖTALANDS LÄN</t>
        </is>
      </c>
      <c r="G218" t="inlineStr">
        <is>
          <t>BENGTSFORS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46237</v>
      </c>
      <c r="F219" t="inlineStr">
        <is>
          <t>VÄSTRA GÖTALANDS LÄN</t>
        </is>
      </c>
      <c r="G219" t="inlineStr">
        <is>
          <t>BENGTSFORS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44428</v>
      </c>
      <c r="E220" s="1" t="n">
        <v>46237</v>
      </c>
      <c r="F220" t="inlineStr">
        <is>
          <t>VÄSTRA GÖTALANDS LÄN</t>
        </is>
      </c>
      <c r="G220" t="inlineStr">
        <is>
          <t>BENGTSFORS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46237</v>
      </c>
      <c r="F221" t="inlineStr">
        <is>
          <t>VÄSTRA GÖTALANDS LÄN</t>
        </is>
      </c>
      <c r="G221" t="inlineStr">
        <is>
          <t>BENGTSFORS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46237</v>
      </c>
      <c r="F222" t="inlineStr">
        <is>
          <t>VÄSTRA GÖTALANDS LÄN</t>
        </is>
      </c>
      <c r="G222" t="inlineStr">
        <is>
          <t>BENGTSFORS</t>
        </is>
      </c>
      <c r="I222" t="n">
        <v>15.7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46237</v>
      </c>
      <c r="F223" t="inlineStr">
        <is>
          <t>VÄSTRA GÖTALANDS LÄN</t>
        </is>
      </c>
      <c r="G223" t="inlineStr">
        <is>
          <t>BENGTSFORS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46237</v>
      </c>
      <c r="F224" t="inlineStr">
        <is>
          <t>VÄSTRA GÖTALANDS LÄN</t>
        </is>
      </c>
      <c r="G224" t="inlineStr">
        <is>
          <t>BENGTSFORS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46237</v>
      </c>
      <c r="F225" t="inlineStr">
        <is>
          <t>VÄSTRA GÖTALANDS LÄN</t>
        </is>
      </c>
      <c r="G225" t="inlineStr">
        <is>
          <t>BENGTSFORS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46237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46237</v>
      </c>
      <c r="F227" t="inlineStr">
        <is>
          <t>VÄSTRA GÖTALANDS LÄN</t>
        </is>
      </c>
      <c r="G227" t="inlineStr">
        <is>
          <t>BENGTSFORS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46237</v>
      </c>
      <c r="F228" t="inlineStr">
        <is>
          <t>VÄSTRA GÖTALANDS LÄN</t>
        </is>
      </c>
      <c r="G228" t="inlineStr">
        <is>
          <t>BENGTSFORS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46237</v>
      </c>
      <c r="F229" t="inlineStr">
        <is>
          <t>VÄSTRA GÖTALANDS LÄN</t>
        </is>
      </c>
      <c r="G229" t="inlineStr">
        <is>
          <t>BENGTSFORS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46237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46237</v>
      </c>
      <c r="F231" t="inlineStr">
        <is>
          <t>VÄSTRA GÖTALANDS LÄN</t>
        </is>
      </c>
      <c r="G231" t="inlineStr">
        <is>
          <t>BENGTSFORS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46237</v>
      </c>
      <c r="F232" t="inlineStr">
        <is>
          <t>VÄSTRA GÖTALANDS LÄN</t>
        </is>
      </c>
      <c r="G232" t="inlineStr">
        <is>
          <t>BENGTSFORS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46237</v>
      </c>
      <c r="F233" t="inlineStr">
        <is>
          <t>VÄSTRA GÖTALANDS LÄN</t>
        </is>
      </c>
      <c r="G233" t="inlineStr">
        <is>
          <t>BENGTSFORS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46237</v>
      </c>
      <c r="F234" t="inlineStr">
        <is>
          <t>VÄSTRA GÖTALANDS LÄN</t>
        </is>
      </c>
      <c r="G234" t="inlineStr">
        <is>
          <t>BENGTSFORS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45663</v>
      </c>
      <c r="E235" s="1" t="n">
        <v>46237</v>
      </c>
      <c r="F235" t="inlineStr">
        <is>
          <t>VÄSTRA GÖTALANDS LÄN</t>
        </is>
      </c>
      <c r="G235" t="inlineStr">
        <is>
          <t>BENGTSFORS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46237</v>
      </c>
      <c r="F236" t="inlineStr">
        <is>
          <t>VÄSTRA GÖTALANDS LÄN</t>
        </is>
      </c>
      <c r="G236" t="inlineStr">
        <is>
          <t>BENGTSFORS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46237</v>
      </c>
      <c r="F237" t="inlineStr">
        <is>
          <t>VÄSTRA GÖTALANDS LÄN</t>
        </is>
      </c>
      <c r="G237" t="inlineStr">
        <is>
          <t>BENGTSFORS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45663</v>
      </c>
      <c r="E238" s="1" t="n">
        <v>46237</v>
      </c>
      <c r="F238" t="inlineStr">
        <is>
          <t>VÄSTRA GÖTALANDS LÄN</t>
        </is>
      </c>
      <c r="G238" t="inlineStr">
        <is>
          <t>BENGTSFORS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46237</v>
      </c>
      <c r="F239" t="inlineStr">
        <is>
          <t>VÄSTRA GÖTALANDS LÄN</t>
        </is>
      </c>
      <c r="G239" t="inlineStr">
        <is>
          <t>BENGTSFORS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44887</v>
      </c>
      <c r="E240" s="1" t="n">
        <v>46237</v>
      </c>
      <c r="F240" t="inlineStr">
        <is>
          <t>VÄSTRA GÖTALANDS LÄN</t>
        </is>
      </c>
      <c r="G240" t="inlineStr">
        <is>
          <t>BENGTSFORS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46237</v>
      </c>
      <c r="F241" t="inlineStr">
        <is>
          <t>VÄSTRA GÖTALANDS LÄN</t>
        </is>
      </c>
      <c r="G241" t="inlineStr">
        <is>
          <t>BENGTSFORS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46237</v>
      </c>
      <c r="F242" t="inlineStr">
        <is>
          <t>VÄSTRA GÖTALANDS LÄN</t>
        </is>
      </c>
      <c r="G242" t="inlineStr">
        <is>
          <t>BENGTSFORS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45524</v>
      </c>
      <c r="E243" s="1" t="n">
        <v>46237</v>
      </c>
      <c r="F243" t="inlineStr">
        <is>
          <t>VÄSTRA GÖTALANDS LÄN</t>
        </is>
      </c>
      <c r="G243" t="inlineStr">
        <is>
          <t>BENGTSFORS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46237</v>
      </c>
      <c r="F244" t="inlineStr">
        <is>
          <t>VÄSTRA GÖTALANDS LÄN</t>
        </is>
      </c>
      <c r="G244" t="inlineStr">
        <is>
          <t>BENGTSFORS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46237</v>
      </c>
      <c r="F245" t="inlineStr">
        <is>
          <t>VÄSTRA GÖTALANDS LÄN</t>
        </is>
      </c>
      <c r="G245" t="inlineStr">
        <is>
          <t>BENGTSFORS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46237</v>
      </c>
      <c r="F246" t="inlineStr">
        <is>
          <t>VÄSTRA GÖTALANDS LÄN</t>
        </is>
      </c>
      <c r="G246" t="inlineStr">
        <is>
          <t>BENGTSFORS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46237</v>
      </c>
      <c r="F247" t="inlineStr">
        <is>
          <t>VÄSTRA GÖTALANDS LÄN</t>
        </is>
      </c>
      <c r="G247" t="inlineStr">
        <is>
          <t>BENGTSFORS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46237</v>
      </c>
      <c r="F248" t="inlineStr">
        <is>
          <t>VÄSTRA GÖTALANDS LÄN</t>
        </is>
      </c>
      <c r="G248" t="inlineStr">
        <is>
          <t>BENGTSFORS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46237</v>
      </c>
      <c r="F249" t="inlineStr">
        <is>
          <t>VÄSTRA GÖTALANDS LÄN</t>
        </is>
      </c>
      <c r="G249" t="inlineStr">
        <is>
          <t>BENGTSFORS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46237</v>
      </c>
      <c r="F250" t="inlineStr">
        <is>
          <t>VÄSTRA GÖTALANDS LÄN</t>
        </is>
      </c>
      <c r="G250" t="inlineStr">
        <is>
          <t>BENGTSFORS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46237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46237</v>
      </c>
      <c r="F252" t="inlineStr">
        <is>
          <t>VÄSTRA GÖTALANDS LÄN</t>
        </is>
      </c>
      <c r="G252" t="inlineStr">
        <is>
          <t>BENGTSFORS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46237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46237</v>
      </c>
      <c r="F254" t="inlineStr">
        <is>
          <t>VÄSTRA GÖTALANDS LÄN</t>
        </is>
      </c>
      <c r="G254" t="inlineStr">
        <is>
          <t>BENGTSFORS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43918-2025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46237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45914</v>
      </c>
      <c r="E256" s="1" t="n">
        <v>46237</v>
      </c>
      <c r="F256" t="inlineStr">
        <is>
          <t>VÄSTRA GÖTALANDS LÄN</t>
        </is>
      </c>
      <c r="G256" t="inlineStr">
        <is>
          <t>BENGTSFORS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45914</v>
      </c>
      <c r="E257" s="1" t="n">
        <v>46237</v>
      </c>
      <c r="F257" t="inlineStr">
        <is>
          <t>VÄSTRA GÖTALANDS LÄN</t>
        </is>
      </c>
      <c r="G257" t="inlineStr">
        <is>
          <t>BENGTSFORS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46237</v>
      </c>
      <c r="F258" t="inlineStr">
        <is>
          <t>VÄSTRA GÖTALANDS LÄN</t>
        </is>
      </c>
      <c r="G258" t="inlineStr">
        <is>
          <t>BENGTSFORS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46237</v>
      </c>
      <c r="F259" t="inlineStr">
        <is>
          <t>VÄSTRA GÖTALANDS LÄN</t>
        </is>
      </c>
      <c r="G259" t="inlineStr">
        <is>
          <t>BENGTSFORS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46237</v>
      </c>
      <c r="F260" t="inlineStr">
        <is>
          <t>VÄSTRA GÖTALANDS LÄN</t>
        </is>
      </c>
      <c r="G260" t="inlineStr">
        <is>
          <t>BENGTSFORS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46237</v>
      </c>
      <c r="F261" t="inlineStr">
        <is>
          <t>VÄSTRA GÖTALANDS LÄN</t>
        </is>
      </c>
      <c r="G261" t="inlineStr">
        <is>
          <t>BENGTSFORS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45766</v>
      </c>
      <c r="E262" s="1" t="n">
        <v>46237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46237</v>
      </c>
      <c r="F263" t="inlineStr">
        <is>
          <t>VÄSTRA GÖTALANDS LÄN</t>
        </is>
      </c>
      <c r="G263" t="inlineStr">
        <is>
          <t>BENGTSFORS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46237</v>
      </c>
      <c r="F264" t="inlineStr">
        <is>
          <t>VÄSTRA GÖTALANDS LÄN</t>
        </is>
      </c>
      <c r="G264" t="inlineStr">
        <is>
          <t>BENGTSFORS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43277-2022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44834</v>
      </c>
      <c r="E265" s="1" t="n">
        <v>46237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Kyrkan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46237</v>
      </c>
      <c r="F266" t="inlineStr">
        <is>
          <t>VÄSTRA GÖTALANDS LÄN</t>
        </is>
      </c>
      <c r="G266" t="inlineStr">
        <is>
          <t>BENGTSFORS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44916</v>
      </c>
      <c r="E267" s="1" t="n">
        <v>46237</v>
      </c>
      <c r="F267" t="inlineStr">
        <is>
          <t>VÄSTRA GÖTALANDS LÄN</t>
        </is>
      </c>
      <c r="G267" t="inlineStr">
        <is>
          <t>BENGTSFORS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46237</v>
      </c>
      <c r="F268" t="inlineStr">
        <is>
          <t>VÄSTRA GÖTALANDS LÄN</t>
        </is>
      </c>
      <c r="G268" t="inlineStr">
        <is>
          <t>BENGTSFORS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46237</v>
      </c>
      <c r="F269" t="inlineStr">
        <is>
          <t>VÄSTRA GÖTALANDS LÄN</t>
        </is>
      </c>
      <c r="G269" t="inlineStr">
        <is>
          <t>BENGTSFORS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46237</v>
      </c>
      <c r="F270" t="inlineStr">
        <is>
          <t>VÄSTRA GÖTALANDS LÄN</t>
        </is>
      </c>
      <c r="G270" t="inlineStr">
        <is>
          <t>BENGTSFORS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46237</v>
      </c>
      <c r="F271" t="inlineStr">
        <is>
          <t>VÄSTRA GÖTALANDS LÄN</t>
        </is>
      </c>
      <c r="G271" t="inlineStr">
        <is>
          <t>BENGTSFORS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46237</v>
      </c>
      <c r="F272" t="inlineStr">
        <is>
          <t>VÄSTRA GÖTALANDS LÄN</t>
        </is>
      </c>
      <c r="G272" t="inlineStr">
        <is>
          <t>BENGTSFORS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46237</v>
      </c>
      <c r="F273" t="inlineStr">
        <is>
          <t>VÄSTRA GÖTALANDS LÄN</t>
        </is>
      </c>
      <c r="G273" t="inlineStr">
        <is>
          <t>BENGTSFORS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46237</v>
      </c>
      <c r="F274" t="inlineStr">
        <is>
          <t>VÄSTRA GÖTALANDS LÄN</t>
        </is>
      </c>
      <c r="G274" t="inlineStr">
        <is>
          <t>BENGTSFORS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46237</v>
      </c>
      <c r="F275" t="inlineStr">
        <is>
          <t>VÄSTRA GÖTALANDS LÄN</t>
        </is>
      </c>
      <c r="G275" t="inlineStr">
        <is>
          <t>BENGTSFORS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44827</v>
      </c>
      <c r="E276" s="1" t="n">
        <v>46237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39917-2021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44417</v>
      </c>
      <c r="E277" s="1" t="n">
        <v>46237</v>
      </c>
      <c r="F277" t="inlineStr">
        <is>
          <t>VÄSTRA GÖTALANDS LÄN</t>
        </is>
      </c>
      <c r="G277" t="inlineStr">
        <is>
          <t>BENGTSFORS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46237</v>
      </c>
      <c r="F278" t="inlineStr">
        <is>
          <t>VÄSTRA GÖTALANDS LÄN</t>
        </is>
      </c>
      <c r="G278" t="inlineStr">
        <is>
          <t>BENGTSFORS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65763-2021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46237</v>
      </c>
      <c r="F279" t="inlineStr">
        <is>
          <t>VÄSTRA GÖTALANDS LÄN</t>
        </is>
      </c>
      <c r="G279" t="inlineStr">
        <is>
          <t>BENGTSFORS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46237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46237</v>
      </c>
      <c r="F281" t="inlineStr">
        <is>
          <t>VÄSTRA GÖTALANDS LÄN</t>
        </is>
      </c>
      <c r="G281" t="inlineStr">
        <is>
          <t>BENGTSFORS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46237</v>
      </c>
      <c r="F282" t="inlineStr">
        <is>
          <t>VÄSTRA GÖTALANDS LÄN</t>
        </is>
      </c>
      <c r="G282" t="inlineStr">
        <is>
          <t>BENGTSFORS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46237</v>
      </c>
      <c r="F283" t="inlineStr">
        <is>
          <t>VÄSTRA GÖTALANDS LÄN</t>
        </is>
      </c>
      <c r="G283" t="inlineStr">
        <is>
          <t>BENGTSFORS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66391-2021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46237</v>
      </c>
      <c r="F284" t="inlineStr">
        <is>
          <t>VÄSTRA GÖTALANDS LÄN</t>
        </is>
      </c>
      <c r="G284" t="inlineStr">
        <is>
          <t>BENGTSFORS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46237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46237</v>
      </c>
      <c r="F286" t="inlineStr">
        <is>
          <t>VÄSTRA GÖTALANDS LÄN</t>
        </is>
      </c>
      <c r="G286" t="inlineStr">
        <is>
          <t>BENGTSFORS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46237</v>
      </c>
      <c r="F287" t="inlineStr">
        <is>
          <t>VÄSTRA GÖTALANDS LÄN</t>
        </is>
      </c>
      <c r="G287" t="inlineStr">
        <is>
          <t>BENGTSFORS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46237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46237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46237</v>
      </c>
      <c r="F290" t="inlineStr">
        <is>
          <t>VÄSTRA GÖTALANDS LÄN</t>
        </is>
      </c>
      <c r="G290" t="inlineStr">
        <is>
          <t>BENGTSFORS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46237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46237</v>
      </c>
      <c r="F292" t="inlineStr">
        <is>
          <t>VÄSTRA GÖTALANDS LÄN</t>
        </is>
      </c>
      <c r="G292" t="inlineStr">
        <is>
          <t>BENGTSFORS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46237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46237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46237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46237</v>
      </c>
      <c r="F296" t="inlineStr">
        <is>
          <t>VÄSTRA GÖTALANDS LÄN</t>
        </is>
      </c>
      <c r="G296" t="inlineStr">
        <is>
          <t>BENGTSFORS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46237</v>
      </c>
      <c r="F297" t="inlineStr">
        <is>
          <t>VÄSTRA GÖTALANDS LÄN</t>
        </is>
      </c>
      <c r="G297" t="inlineStr">
        <is>
          <t>BENGTSFORS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46237</v>
      </c>
      <c r="F298" t="inlineStr">
        <is>
          <t>VÄSTRA GÖTALANDS LÄN</t>
        </is>
      </c>
      <c r="G298" t="inlineStr">
        <is>
          <t>BENGTSFORS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46237</v>
      </c>
      <c r="F299" t="inlineStr">
        <is>
          <t>VÄSTRA GÖTALANDS LÄN</t>
        </is>
      </c>
      <c r="G299" t="inlineStr">
        <is>
          <t>BENGTSFORS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46237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46237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46237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46237</v>
      </c>
      <c r="F303" t="inlineStr">
        <is>
          <t>VÄSTRA GÖTALANDS LÄN</t>
        </is>
      </c>
      <c r="G303" t="inlineStr">
        <is>
          <t>BENGTSFORS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46237</v>
      </c>
      <c r="F304" t="inlineStr">
        <is>
          <t>VÄSTRA GÖTALANDS LÄN</t>
        </is>
      </c>
      <c r="G304" t="inlineStr">
        <is>
          <t>BENGTSFORS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46237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46237</v>
      </c>
      <c r="F306" t="inlineStr">
        <is>
          <t>VÄSTRA GÖTALANDS LÄN</t>
        </is>
      </c>
      <c r="G306" t="inlineStr">
        <is>
          <t>BENGTSFORS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46237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46237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46237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44831</v>
      </c>
      <c r="E310" s="1" t="n">
        <v>46237</v>
      </c>
      <c r="F310" t="inlineStr">
        <is>
          <t>VÄSTRA GÖTALANDS LÄN</t>
        </is>
      </c>
      <c r="G310" t="inlineStr">
        <is>
          <t>BENGTSFORS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46237</v>
      </c>
      <c r="F311" t="inlineStr">
        <is>
          <t>VÄSTRA GÖTALANDS LÄN</t>
        </is>
      </c>
      <c r="G311" t="inlineStr">
        <is>
          <t>BENGTSFORS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46237</v>
      </c>
      <c r="F312" t="inlineStr">
        <is>
          <t>VÄSTRA GÖTALANDS LÄN</t>
        </is>
      </c>
      <c r="G312" t="inlineStr">
        <is>
          <t>BENGTSFORS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46237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46237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44755</v>
      </c>
      <c r="E315" s="1" t="n">
        <v>46237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46237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52952-2025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45957</v>
      </c>
      <c r="E317" s="1" t="n">
        <v>46237</v>
      </c>
      <c r="F317" t="inlineStr">
        <is>
          <t>VÄSTRA GÖTALANDS LÄN</t>
        </is>
      </c>
      <c r="G317" t="inlineStr">
        <is>
          <t>BENGTSFORS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46237</v>
      </c>
      <c r="F318" t="inlineStr">
        <is>
          <t>VÄSTRA GÖTALANDS LÄN</t>
        </is>
      </c>
      <c r="G318" t="inlineStr">
        <is>
          <t>BENGTSFORS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46237</v>
      </c>
      <c r="F319" t="inlineStr">
        <is>
          <t>VÄSTRA GÖTALANDS LÄN</t>
        </is>
      </c>
      <c r="G319" t="inlineStr">
        <is>
          <t>BENGTSFORS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46237</v>
      </c>
      <c r="F320" t="inlineStr">
        <is>
          <t>VÄSTRA GÖTALANDS LÄN</t>
        </is>
      </c>
      <c r="G320" t="inlineStr">
        <is>
          <t>BENGTSFORS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46237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Kyrkan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46237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45151</v>
      </c>
      <c r="E323" s="1" t="n">
        <v>46237</v>
      </c>
      <c r="F323" t="inlineStr">
        <is>
          <t>VÄSTRA GÖTALANDS LÄN</t>
        </is>
      </c>
      <c r="G323" t="inlineStr">
        <is>
          <t>BENGTSFORS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46237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46237</v>
      </c>
      <c r="F325" t="inlineStr">
        <is>
          <t>VÄSTRA GÖTALANDS LÄN</t>
        </is>
      </c>
      <c r="G325" t="inlineStr">
        <is>
          <t>BENGTSFORS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46237</v>
      </c>
      <c r="F326" t="inlineStr">
        <is>
          <t>VÄSTRA GÖTALANDS LÄN</t>
        </is>
      </c>
      <c r="G326" t="inlineStr">
        <is>
          <t>BENGTSFORS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46237</v>
      </c>
      <c r="F327" t="inlineStr">
        <is>
          <t>VÄSTRA GÖTALANDS LÄN</t>
        </is>
      </c>
      <c r="G327" t="inlineStr">
        <is>
          <t>BENGTSFORS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54132-2025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45964</v>
      </c>
      <c r="E328" s="1" t="n">
        <v>46237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46237</v>
      </c>
      <c r="F329" t="inlineStr">
        <is>
          <t>VÄSTRA GÖTALANDS LÄN</t>
        </is>
      </c>
      <c r="G329" t="inlineStr">
        <is>
          <t>BENGTSFORS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46237</v>
      </c>
      <c r="F330" t="inlineStr">
        <is>
          <t>VÄSTRA GÖTALANDS LÄN</t>
        </is>
      </c>
      <c r="G330" t="inlineStr">
        <is>
          <t>BENGTSFORS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46237</v>
      </c>
      <c r="F331" t="inlineStr">
        <is>
          <t>VÄSTRA GÖTALANDS LÄN</t>
        </is>
      </c>
      <c r="G331" t="inlineStr">
        <is>
          <t>BENGTSFORS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46237</v>
      </c>
      <c r="F332" t="inlineStr">
        <is>
          <t>VÄSTRA GÖTALANDS LÄN</t>
        </is>
      </c>
      <c r="G332" t="inlineStr">
        <is>
          <t>BENGTSFORS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46237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46237</v>
      </c>
      <c r="F334" t="inlineStr">
        <is>
          <t>VÄSTRA GÖTALANDS LÄN</t>
        </is>
      </c>
      <c r="G334" t="inlineStr">
        <is>
          <t>BENGTSFORS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45694</v>
      </c>
      <c r="E335" s="1" t="n">
        <v>46237</v>
      </c>
      <c r="F335" t="inlineStr">
        <is>
          <t>VÄSTRA GÖTALANDS LÄN</t>
        </is>
      </c>
      <c r="G335" t="inlineStr">
        <is>
          <t>BENGTSFORS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41213-2024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45559</v>
      </c>
      <c r="E336" s="1" t="n">
        <v>46237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44855</v>
      </c>
      <c r="E337" s="1" t="n">
        <v>46237</v>
      </c>
      <c r="F337" t="inlineStr">
        <is>
          <t>VÄSTRA GÖTALANDS LÄN</t>
        </is>
      </c>
      <c r="G337" t="inlineStr">
        <is>
          <t>BENGTSFORS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46237</v>
      </c>
      <c r="F338" t="inlineStr">
        <is>
          <t>VÄSTRA GÖTALANDS LÄN</t>
        </is>
      </c>
      <c r="G338" t="inlineStr">
        <is>
          <t>BENGTSFORS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44971</v>
      </c>
      <c r="E339" s="1" t="n">
        <v>46237</v>
      </c>
      <c r="F339" t="inlineStr">
        <is>
          <t>VÄSTRA GÖTALANDS LÄN</t>
        </is>
      </c>
      <c r="G339" t="inlineStr">
        <is>
          <t>BENGTSFORS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46237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Övriga Aktiebolag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45553</v>
      </c>
      <c r="E341" s="1" t="n">
        <v>46237</v>
      </c>
      <c r="F341" t="inlineStr">
        <is>
          <t>VÄSTRA GÖTALANDS LÄN</t>
        </is>
      </c>
      <c r="G341" t="inlineStr">
        <is>
          <t>BENGTSFORS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45579</v>
      </c>
      <c r="E342" s="1" t="n">
        <v>46237</v>
      </c>
      <c r="F342" t="inlineStr">
        <is>
          <t>VÄSTRA GÖTALANDS LÄN</t>
        </is>
      </c>
      <c r="G342" t="inlineStr">
        <is>
          <t>BENGTSFORS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45089</v>
      </c>
      <c r="E343" s="1" t="n">
        <v>46237</v>
      </c>
      <c r="F343" t="inlineStr">
        <is>
          <t>VÄSTRA GÖTALANDS LÄN</t>
        </is>
      </c>
      <c r="G343" t="inlineStr">
        <is>
          <t>BENGTSFORS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46237</v>
      </c>
      <c r="F344" t="inlineStr">
        <is>
          <t>VÄSTRA GÖTALANDS LÄN</t>
        </is>
      </c>
      <c r="G344" t="inlineStr">
        <is>
          <t>BENGTSFORS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46237</v>
      </c>
      <c r="F345" t="inlineStr">
        <is>
          <t>VÄSTRA GÖTALANDS LÄN</t>
        </is>
      </c>
      <c r="G345" t="inlineStr">
        <is>
          <t>BENGTSFORS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46237</v>
      </c>
      <c r="F346" t="inlineStr">
        <is>
          <t>VÄSTRA GÖTALANDS LÄN</t>
        </is>
      </c>
      <c r="G346" t="inlineStr">
        <is>
          <t>BENGTSFORS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46237</v>
      </c>
      <c r="F347" t="inlineStr">
        <is>
          <t>VÄSTRA GÖTALANDS LÄN</t>
        </is>
      </c>
      <c r="G347" t="inlineStr">
        <is>
          <t>BENGTSFORS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45750</v>
      </c>
      <c r="E348" s="1" t="n">
        <v>46237</v>
      </c>
      <c r="F348" t="inlineStr">
        <is>
          <t>VÄSTRA GÖTALANDS LÄN</t>
        </is>
      </c>
      <c r="G348" t="inlineStr">
        <is>
          <t>BENGTSFORS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45440</v>
      </c>
      <c r="E349" s="1" t="n">
        <v>46237</v>
      </c>
      <c r="F349" t="inlineStr">
        <is>
          <t>VÄSTRA GÖTALANDS LÄN</t>
        </is>
      </c>
      <c r="G349" t="inlineStr">
        <is>
          <t>BENGTSFORS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46237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45952</v>
      </c>
      <c r="E351" s="1" t="n">
        <v>46237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46237</v>
      </c>
      <c r="F352" t="inlineStr">
        <is>
          <t>VÄSTRA GÖTALANDS LÄN</t>
        </is>
      </c>
      <c r="G352" t="inlineStr">
        <is>
          <t>BENGTSFORS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46237</v>
      </c>
      <c r="F353" t="inlineStr">
        <is>
          <t>VÄSTRA GÖTALANDS LÄN</t>
        </is>
      </c>
      <c r="G353" t="inlineStr">
        <is>
          <t>BENGTSFORS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46237</v>
      </c>
      <c r="F354" t="inlineStr">
        <is>
          <t>VÄSTRA GÖTALANDS LÄN</t>
        </is>
      </c>
      <c r="G354" t="inlineStr">
        <is>
          <t>BENGTSFORS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44895</v>
      </c>
      <c r="E355" s="1" t="n">
        <v>46237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46237</v>
      </c>
      <c r="F356" t="inlineStr">
        <is>
          <t>VÄSTRA GÖTALANDS LÄN</t>
        </is>
      </c>
      <c r="G356" t="inlineStr">
        <is>
          <t>BENGTSFORS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67916-2021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44525</v>
      </c>
      <c r="E357" s="1" t="n">
        <v>46237</v>
      </c>
      <c r="F357" t="inlineStr">
        <is>
          <t>VÄSTRA GÖTALANDS LÄN</t>
        </is>
      </c>
      <c r="G357" t="inlineStr">
        <is>
          <t>BENGTSFORS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46237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Övriga Aktiebolag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46237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46237</v>
      </c>
      <c r="F360" t="inlineStr">
        <is>
          <t>VÄSTRA GÖTALANDS LÄN</t>
        </is>
      </c>
      <c r="G360" t="inlineStr">
        <is>
          <t>BENGTSFORS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46237</v>
      </c>
      <c r="F361" t="inlineStr">
        <is>
          <t>VÄSTRA GÖTALANDS LÄN</t>
        </is>
      </c>
      <c r="G361" t="inlineStr">
        <is>
          <t>BENGTSFORS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46237</v>
      </c>
      <c r="F362" t="inlineStr">
        <is>
          <t>VÄSTRA GÖTALANDS LÄN</t>
        </is>
      </c>
      <c r="G362" t="inlineStr">
        <is>
          <t>BENGTSFORS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46237</v>
      </c>
      <c r="F363" t="inlineStr">
        <is>
          <t>VÄSTRA GÖTALANDS LÄN</t>
        </is>
      </c>
      <c r="G363" t="inlineStr">
        <is>
          <t>BENGTSFORS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46237</v>
      </c>
      <c r="F364" t="inlineStr">
        <is>
          <t>VÄSTRA GÖTALANDS LÄN</t>
        </is>
      </c>
      <c r="G364" t="inlineStr">
        <is>
          <t>BENGTSFORS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44620</v>
      </c>
      <c r="E365" s="1" t="n">
        <v>46237</v>
      </c>
      <c r="F365" t="inlineStr">
        <is>
          <t>VÄSTRA GÖTALANDS LÄN</t>
        </is>
      </c>
      <c r="G365" t="inlineStr">
        <is>
          <t>BENGTSFORS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46237</v>
      </c>
      <c r="F366" t="inlineStr">
        <is>
          <t>VÄSTRA GÖTALANDS LÄN</t>
        </is>
      </c>
      <c r="G366" t="inlineStr">
        <is>
          <t>BENGTSFORS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46237</v>
      </c>
      <c r="F367" t="inlineStr">
        <is>
          <t>VÄSTRA GÖTALANDS LÄN</t>
        </is>
      </c>
      <c r="G367" t="inlineStr">
        <is>
          <t>BENGTSFORS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46237</v>
      </c>
      <c r="F368" t="inlineStr">
        <is>
          <t>VÄSTRA GÖTALANDS LÄN</t>
        </is>
      </c>
      <c r="G368" t="inlineStr">
        <is>
          <t>BENGTSFORS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46237</v>
      </c>
      <c r="F369" t="inlineStr">
        <is>
          <t>VÄSTRA GÖTALANDS LÄN</t>
        </is>
      </c>
      <c r="G369" t="inlineStr">
        <is>
          <t>BENGTSFORS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46237</v>
      </c>
      <c r="F370" t="inlineStr">
        <is>
          <t>VÄSTRA GÖTALANDS LÄN</t>
        </is>
      </c>
      <c r="G370" t="inlineStr">
        <is>
          <t>BENGTSFORS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46237</v>
      </c>
      <c r="F371" t="inlineStr">
        <is>
          <t>VÄSTRA GÖTALANDS LÄN</t>
        </is>
      </c>
      <c r="G371" t="inlineStr">
        <is>
          <t>BENGTSFORS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46237</v>
      </c>
      <c r="F372" t="inlineStr">
        <is>
          <t>VÄSTRA GÖTALANDS LÄN</t>
        </is>
      </c>
      <c r="G372" t="inlineStr">
        <is>
          <t>BENGTSFORS</t>
        </is>
      </c>
      <c r="H372" t="inlineStr">
        <is>
          <t>Kyrkan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46723-2022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46237</v>
      </c>
      <c r="F373" t="inlineStr">
        <is>
          <t>VÄSTRA GÖTALANDS LÄN</t>
        </is>
      </c>
      <c r="G373" t="inlineStr">
        <is>
          <t>BENGTSFORS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46237</v>
      </c>
      <c r="F374" t="inlineStr">
        <is>
          <t>VÄSTRA GÖTALANDS LÄN</t>
        </is>
      </c>
      <c r="G374" t="inlineStr">
        <is>
          <t>BENGTSFORS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45992</v>
      </c>
      <c r="E375" s="1" t="n">
        <v>46237</v>
      </c>
      <c r="F375" t="inlineStr">
        <is>
          <t>VÄSTRA GÖTALANDS LÄN</t>
        </is>
      </c>
      <c r="G375" t="inlineStr">
        <is>
          <t>BENGTSFORS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46237</v>
      </c>
      <c r="F376" t="inlineStr">
        <is>
          <t>VÄSTRA GÖTALANDS LÄN</t>
        </is>
      </c>
      <c r="G376" t="inlineStr">
        <is>
          <t>BENGTSFORS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59788-2025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45992</v>
      </c>
      <c r="E377" s="1" t="n">
        <v>46237</v>
      </c>
      <c r="F377" t="inlineStr">
        <is>
          <t>VÄSTRA GÖTALANDS LÄN</t>
        </is>
      </c>
      <c r="G377" t="inlineStr">
        <is>
          <t>BENGTSFORS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45649</v>
      </c>
      <c r="E378" s="1" t="n">
        <v>46237</v>
      </c>
      <c r="F378" t="inlineStr">
        <is>
          <t>VÄSTRA GÖTALANDS LÄN</t>
        </is>
      </c>
      <c r="G378" t="inlineStr">
        <is>
          <t>BENGTSFORS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44958</v>
      </c>
      <c r="E379" s="1" t="n">
        <v>46237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46237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44943</v>
      </c>
      <c r="E381" s="1" t="n">
        <v>46237</v>
      </c>
      <c r="F381" t="inlineStr">
        <is>
          <t>VÄSTRA GÖTALANDS LÄN</t>
        </is>
      </c>
      <c r="G381" t="inlineStr">
        <is>
          <t>BENGTSFORS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45233</v>
      </c>
      <c r="E382" s="1" t="n">
        <v>46237</v>
      </c>
      <c r="F382" t="inlineStr">
        <is>
          <t>VÄSTRA GÖTALANDS LÄN</t>
        </is>
      </c>
      <c r="G382" t="inlineStr">
        <is>
          <t>BENGTSFORS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44440</v>
      </c>
      <c r="E383" s="1" t="n">
        <v>46237</v>
      </c>
      <c r="F383" t="inlineStr">
        <is>
          <t>VÄSTRA GÖTALANDS LÄN</t>
        </is>
      </c>
      <c r="G383" t="inlineStr">
        <is>
          <t>BENGTSFORS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46237</v>
      </c>
      <c r="F384" t="inlineStr">
        <is>
          <t>VÄSTRA GÖTALANDS LÄN</t>
        </is>
      </c>
      <c r="G384" t="inlineStr">
        <is>
          <t>BENGTSFORS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46237</v>
      </c>
      <c r="F385" t="inlineStr">
        <is>
          <t>VÄSTRA GÖTALANDS LÄN</t>
        </is>
      </c>
      <c r="G385" t="inlineStr">
        <is>
          <t>BENGTSFORS</t>
        </is>
      </c>
      <c r="I385" t="n">
        <v>10.6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46237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46237</v>
      </c>
      <c r="F387" t="inlineStr">
        <is>
          <t>VÄSTRA GÖTALANDS LÄN</t>
        </is>
      </c>
      <c r="G387" t="inlineStr">
        <is>
          <t>BENGTSFORS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46237</v>
      </c>
      <c r="F388" t="inlineStr">
        <is>
          <t>VÄSTRA GÖTALANDS LÄN</t>
        </is>
      </c>
      <c r="G388" t="inlineStr">
        <is>
          <t>BENGTSFORS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46237</v>
      </c>
      <c r="F389" t="inlineStr">
        <is>
          <t>VÄSTRA GÖTALANDS LÄN</t>
        </is>
      </c>
      <c r="G389" t="inlineStr">
        <is>
          <t>BENGTSFORS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46237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60540-2025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46237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46237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46237</v>
      </c>
      <c r="F393" t="inlineStr">
        <is>
          <t>VÄSTRA GÖTALANDS LÄN</t>
        </is>
      </c>
      <c r="G393" t="inlineStr">
        <is>
          <t>BENGTSFORS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46237</v>
      </c>
      <c r="F394" t="inlineStr">
        <is>
          <t>VÄSTRA GÖTALANDS LÄN</t>
        </is>
      </c>
      <c r="G394" t="inlineStr">
        <is>
          <t>BENGTSFORS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46237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46237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46237</v>
      </c>
      <c r="F397" t="inlineStr">
        <is>
          <t>VÄSTRA GÖTALANDS LÄN</t>
        </is>
      </c>
      <c r="G397" t="inlineStr">
        <is>
          <t>BENGTSFORS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45405</v>
      </c>
      <c r="E398" s="1" t="n">
        <v>46237</v>
      </c>
      <c r="F398" t="inlineStr">
        <is>
          <t>VÄSTRA GÖTALANDS LÄN</t>
        </is>
      </c>
      <c r="G398" t="inlineStr">
        <is>
          <t>BENGTSFORS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46237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46237</v>
      </c>
      <c r="F400" t="inlineStr">
        <is>
          <t>VÄSTRA GÖTALANDS LÄN</t>
        </is>
      </c>
      <c r="G400" t="inlineStr">
        <is>
          <t>BENGTSFORS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46237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46237</v>
      </c>
      <c r="F402" t="inlineStr">
        <is>
          <t>VÄSTRA GÖTALANDS LÄN</t>
        </is>
      </c>
      <c r="G402" t="inlineStr">
        <is>
          <t>BENGTSFORS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46237</v>
      </c>
      <c r="F403" t="inlineStr">
        <is>
          <t>VÄSTRA GÖTALANDS LÄN</t>
        </is>
      </c>
      <c r="G403" t="inlineStr">
        <is>
          <t>BENGTSFORS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46237</v>
      </c>
      <c r="F404" t="inlineStr">
        <is>
          <t>VÄSTRA GÖTALANDS LÄN</t>
        </is>
      </c>
      <c r="G404" t="inlineStr">
        <is>
          <t>BENGTSFORS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25887-2024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45467</v>
      </c>
      <c r="E405" s="1" t="n">
        <v>46237</v>
      </c>
      <c r="F405" t="inlineStr">
        <is>
          <t>VÄSTRA GÖTALANDS LÄN</t>
        </is>
      </c>
      <c r="G405" t="inlineStr">
        <is>
          <t>BENGTSFORS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46237</v>
      </c>
      <c r="F406" t="inlineStr">
        <is>
          <t>VÄSTRA GÖTALANDS LÄN</t>
        </is>
      </c>
      <c r="G406" t="inlineStr">
        <is>
          <t>BENGTSFORS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46237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45060</v>
      </c>
      <c r="E408" s="1" t="n">
        <v>46237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46237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45655</v>
      </c>
      <c r="E410" s="1" t="n">
        <v>46237</v>
      </c>
      <c r="F410" t="inlineStr">
        <is>
          <t>VÄSTRA GÖTALANDS LÄN</t>
        </is>
      </c>
      <c r="G410" t="inlineStr">
        <is>
          <t>BENGTSFORS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46237</v>
      </c>
      <c r="F411" t="inlineStr">
        <is>
          <t>VÄSTRA GÖTALANDS LÄN</t>
        </is>
      </c>
      <c r="G411" t="inlineStr">
        <is>
          <t>BENGTSFORS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46237</v>
      </c>
      <c r="F412" t="inlineStr">
        <is>
          <t>VÄSTRA GÖTALANDS LÄN</t>
        </is>
      </c>
      <c r="G412" t="inlineStr">
        <is>
          <t>BENGTSFORS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46237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46237</v>
      </c>
      <c r="F414" t="inlineStr">
        <is>
          <t>VÄSTRA GÖTALANDS LÄN</t>
        </is>
      </c>
      <c r="G414" t="inlineStr">
        <is>
          <t>BENGTSFORS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49778-2021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44453</v>
      </c>
      <c r="E415" s="1" t="n">
        <v>46237</v>
      </c>
      <c r="F415" t="inlineStr">
        <is>
          <t>VÄSTRA GÖTALANDS LÄN</t>
        </is>
      </c>
      <c r="G415" t="inlineStr">
        <is>
          <t>BENGTSFORS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46237</v>
      </c>
      <c r="F416" t="inlineStr">
        <is>
          <t>VÄSTRA GÖTALANDS LÄN</t>
        </is>
      </c>
      <c r="G416" t="inlineStr">
        <is>
          <t>BENGTSFORS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46237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37889-2025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45881</v>
      </c>
      <c r="E418" s="1" t="n">
        <v>46237</v>
      </c>
      <c r="F418" t="inlineStr">
        <is>
          <t>VÄSTRA GÖTALANDS LÄN</t>
        </is>
      </c>
      <c r="G418" t="inlineStr">
        <is>
          <t>BENGTSFORS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46237</v>
      </c>
      <c r="F419" t="inlineStr">
        <is>
          <t>VÄSTRA GÖTALANDS LÄN</t>
        </is>
      </c>
      <c r="G419" t="inlineStr">
        <is>
          <t>BENGTSFORS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45376</v>
      </c>
      <c r="E420" s="1" t="n">
        <v>46237</v>
      </c>
      <c r="F420" t="inlineStr">
        <is>
          <t>VÄSTRA GÖTALANDS LÄN</t>
        </is>
      </c>
      <c r="G420" t="inlineStr">
        <is>
          <t>BENGTSFORS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46237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46237</v>
      </c>
      <c r="F422" t="inlineStr">
        <is>
          <t>VÄSTRA GÖTALANDS LÄN</t>
        </is>
      </c>
      <c r="G422" t="inlineStr">
        <is>
          <t>BENGTSFORS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55880-2021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44476</v>
      </c>
      <c r="E423" s="1" t="n">
        <v>46237</v>
      </c>
      <c r="F423" t="inlineStr">
        <is>
          <t>VÄSTRA GÖTALANDS LÄN</t>
        </is>
      </c>
      <c r="G423" t="inlineStr">
        <is>
          <t>BENGTSFORS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46237</v>
      </c>
      <c r="F424" t="inlineStr">
        <is>
          <t>VÄSTRA GÖTALANDS LÄN</t>
        </is>
      </c>
      <c r="G424" t="inlineStr">
        <is>
          <t>BENGTSFORS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46237</v>
      </c>
      <c r="F425" t="inlineStr">
        <is>
          <t>VÄSTRA GÖTALANDS LÄN</t>
        </is>
      </c>
      <c r="G425" t="inlineStr">
        <is>
          <t>BENGTSFORS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45422</v>
      </c>
      <c r="E426" s="1" t="n">
        <v>46237</v>
      </c>
      <c r="F426" t="inlineStr">
        <is>
          <t>VÄSTRA GÖTALANDS LÄN</t>
        </is>
      </c>
      <c r="G426" t="inlineStr">
        <is>
          <t>BENGTSFORS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45385</v>
      </c>
      <c r="E427" s="1" t="n">
        <v>46237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46237</v>
      </c>
      <c r="F428" t="inlineStr">
        <is>
          <t>VÄSTRA GÖTALANDS LÄN</t>
        </is>
      </c>
      <c r="G428" t="inlineStr">
        <is>
          <t>BENGTSFORS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46237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46237</v>
      </c>
      <c r="F430" t="inlineStr">
        <is>
          <t>VÄSTRA GÖTALANDS LÄN</t>
        </is>
      </c>
      <c r="G430" t="inlineStr">
        <is>
          <t>BENGTSFORS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46237</v>
      </c>
      <c r="F431" t="inlineStr">
        <is>
          <t>VÄSTRA GÖTALANDS LÄN</t>
        </is>
      </c>
      <c r="G431" t="inlineStr">
        <is>
          <t>BENGTSFORS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61820-2021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46237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46237</v>
      </c>
      <c r="F433" t="inlineStr">
        <is>
          <t>VÄSTRA GÖTALANDS LÄN</t>
        </is>
      </c>
      <c r="G433" t="inlineStr">
        <is>
          <t>BENGTSFORS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46237</v>
      </c>
      <c r="F434" t="inlineStr">
        <is>
          <t>VÄSTRA GÖTALANDS LÄN</t>
        </is>
      </c>
      <c r="G434" t="inlineStr">
        <is>
          <t>BENGTSFORS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46237</v>
      </c>
      <c r="F435" t="inlineStr">
        <is>
          <t>VÄSTRA GÖTALANDS LÄN</t>
        </is>
      </c>
      <c r="G435" t="inlineStr">
        <is>
          <t>BENGTSFORS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46237</v>
      </c>
      <c r="F436" t="inlineStr">
        <is>
          <t>VÄSTRA GÖTALANDS LÄN</t>
        </is>
      </c>
      <c r="G436" t="inlineStr">
        <is>
          <t>BENGTSFORS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46237</v>
      </c>
      <c r="F437" t="inlineStr">
        <is>
          <t>VÄSTRA GÖTALANDS LÄN</t>
        </is>
      </c>
      <c r="G437" t="inlineStr">
        <is>
          <t>BENGTSFORS</t>
        </is>
      </c>
      <c r="I437" t="n">
        <v>12.8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46237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45313</v>
      </c>
      <c r="E439" s="1" t="n">
        <v>46237</v>
      </c>
      <c r="F439" t="inlineStr">
        <is>
          <t>VÄSTRA GÖTALANDS LÄN</t>
        </is>
      </c>
      <c r="G439" t="inlineStr">
        <is>
          <t>BENGTSFORS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45772</v>
      </c>
      <c r="E440" s="1" t="n">
        <v>46237</v>
      </c>
      <c r="F440" t="inlineStr">
        <is>
          <t>VÄSTRA GÖTALANDS LÄN</t>
        </is>
      </c>
      <c r="G440" t="inlineStr">
        <is>
          <t>BENGTSFORS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46237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Kyrkan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46237</v>
      </c>
      <c r="F442" t="inlineStr">
        <is>
          <t>VÄSTRA GÖTALANDS LÄN</t>
        </is>
      </c>
      <c r="G442" t="inlineStr">
        <is>
          <t>BENGTSFORS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46237</v>
      </c>
      <c r="F443" t="inlineStr">
        <is>
          <t>VÄSTRA GÖTALANDS LÄN</t>
        </is>
      </c>
      <c r="G443" t="inlineStr">
        <is>
          <t>BENGTSFORS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46237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46237</v>
      </c>
      <c r="F445" t="inlineStr">
        <is>
          <t>VÄSTRA GÖTALANDS LÄN</t>
        </is>
      </c>
      <c r="G445" t="inlineStr">
        <is>
          <t>BENGTSFORS</t>
        </is>
      </c>
      <c r="I445" t="n">
        <v>9.199999999999999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46237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46237</v>
      </c>
      <c r="F447" t="inlineStr">
        <is>
          <t>VÄSTRA GÖTALANDS LÄN</t>
        </is>
      </c>
      <c r="G447" t="inlineStr">
        <is>
          <t>BENGTSFORS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46020</v>
      </c>
      <c r="E448" s="1" t="n">
        <v>46237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46237</v>
      </c>
      <c r="F449" t="inlineStr">
        <is>
          <t>VÄSTRA GÖTALANDS LÄN</t>
        </is>
      </c>
      <c r="G449" t="inlineStr">
        <is>
          <t>BENGTSFORS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46237</v>
      </c>
      <c r="F450" t="inlineStr">
        <is>
          <t>VÄSTRA GÖTALANDS LÄN</t>
        </is>
      </c>
      <c r="G450" t="inlineStr">
        <is>
          <t>BENGTSFORS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46237</v>
      </c>
      <c r="F451" t="inlineStr">
        <is>
          <t>VÄSTRA GÖTALANDS LÄN</t>
        </is>
      </c>
      <c r="G451" t="inlineStr">
        <is>
          <t>BENGTSFORS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46237</v>
      </c>
      <c r="F452" t="inlineStr">
        <is>
          <t>VÄSTRA GÖTALANDS LÄN</t>
        </is>
      </c>
      <c r="G452" t="inlineStr">
        <is>
          <t>BENGTSFORS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46237</v>
      </c>
      <c r="F453" t="inlineStr">
        <is>
          <t>VÄSTRA GÖTALANDS LÄN</t>
        </is>
      </c>
      <c r="G453" t="inlineStr">
        <is>
          <t>BENGTSFORS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45151</v>
      </c>
      <c r="E454" s="1" t="n">
        <v>46237</v>
      </c>
      <c r="F454" t="inlineStr">
        <is>
          <t>VÄSTRA GÖTALANDS LÄN</t>
        </is>
      </c>
      <c r="G454" t="inlineStr">
        <is>
          <t>BENGTSFORS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45151</v>
      </c>
      <c r="E455" s="1" t="n">
        <v>46237</v>
      </c>
      <c r="F455" t="inlineStr">
        <is>
          <t>VÄSTRA GÖTALANDS LÄN</t>
        </is>
      </c>
      <c r="G455" t="inlineStr">
        <is>
          <t>BENGTSFORS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44831</v>
      </c>
      <c r="E456" s="1" t="n">
        <v>46237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46237</v>
      </c>
      <c r="F457" t="inlineStr">
        <is>
          <t>VÄSTRA GÖTALANDS LÄN</t>
        </is>
      </c>
      <c r="G457" t="inlineStr">
        <is>
          <t>BENGTSFORS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44621</v>
      </c>
      <c r="E458" s="1" t="n">
        <v>46237</v>
      </c>
      <c r="F458" t="inlineStr">
        <is>
          <t>VÄSTRA GÖTALANDS LÄN</t>
        </is>
      </c>
      <c r="G458" t="inlineStr">
        <is>
          <t>BENGTSFORS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46237</v>
      </c>
      <c r="F459" t="inlineStr">
        <is>
          <t>VÄSTRA GÖTALANDS LÄN</t>
        </is>
      </c>
      <c r="G459" t="inlineStr">
        <is>
          <t>BENGTSFORS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46198</v>
      </c>
      <c r="E460" s="1" t="n">
        <v>46237</v>
      </c>
      <c r="F460" t="inlineStr">
        <is>
          <t>VÄSTRA GÖTALANDS LÄN</t>
        </is>
      </c>
      <c r="G460" t="inlineStr">
        <is>
          <t>BENGTSFORS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46237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46237</v>
      </c>
      <c r="F462" t="inlineStr">
        <is>
          <t>VÄSTRA GÖTALANDS LÄN</t>
        </is>
      </c>
      <c r="G462" t="inlineStr">
        <is>
          <t>BENGTSFORS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46237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46237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58320-2021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44488</v>
      </c>
      <c r="E465" s="1" t="n">
        <v>46237</v>
      </c>
      <c r="F465" t="inlineStr">
        <is>
          <t>VÄSTRA GÖTALANDS LÄN</t>
        </is>
      </c>
      <c r="G465" t="inlineStr">
        <is>
          <t>BENGTSFORS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46237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Kyrkan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45202</v>
      </c>
      <c r="E467" s="1" t="n">
        <v>46237</v>
      </c>
      <c r="F467" t="inlineStr">
        <is>
          <t>VÄSTRA GÖTALANDS LÄN</t>
        </is>
      </c>
      <c r="G467" t="inlineStr">
        <is>
          <t>BENGTSFORS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46237</v>
      </c>
      <c r="F468" t="inlineStr">
        <is>
          <t>VÄSTRA GÖTALANDS LÄN</t>
        </is>
      </c>
      <c r="G468" t="inlineStr">
        <is>
          <t>BENGTSFORS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46237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45151</v>
      </c>
      <c r="E470" s="1" t="n">
        <v>46237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46237</v>
      </c>
      <c r="F471" t="inlineStr">
        <is>
          <t>VÄSTRA GÖTALANDS LÄN</t>
        </is>
      </c>
      <c r="G471" t="inlineStr">
        <is>
          <t>BENGTSFORS</t>
        </is>
      </c>
      <c r="H471" t="inlineStr">
        <is>
          <t>Övriga Aktiebolag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23407-2023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45076</v>
      </c>
      <c r="E472" s="1" t="n">
        <v>46237</v>
      </c>
      <c r="F472" t="inlineStr">
        <is>
          <t>VÄSTRA GÖTALANDS LÄN</t>
        </is>
      </c>
      <c r="G472" t="inlineStr">
        <is>
          <t>BENGTSFORS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44984</v>
      </c>
      <c r="E473" s="1" t="n">
        <v>46237</v>
      </c>
      <c r="F473" t="inlineStr">
        <is>
          <t>VÄSTRA GÖTALANDS LÄN</t>
        </is>
      </c>
      <c r="G473" t="inlineStr">
        <is>
          <t>BENGTSFORS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45132</v>
      </c>
      <c r="E474" s="1" t="n">
        <v>46237</v>
      </c>
      <c r="F474" t="inlineStr">
        <is>
          <t>VÄSTRA GÖTALANDS LÄN</t>
        </is>
      </c>
      <c r="G474" t="inlineStr">
        <is>
          <t>BENGTSFORS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46237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46237</v>
      </c>
      <c r="F476" t="inlineStr">
        <is>
          <t>VÄSTRA GÖTALANDS LÄN</t>
        </is>
      </c>
      <c r="G476" t="inlineStr">
        <is>
          <t>BENGTSFORS</t>
        </is>
      </c>
      <c r="H476" t="inlineStr">
        <is>
          <t>Övriga Aktiebolag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44946</v>
      </c>
      <c r="E477" s="1" t="n">
        <v>46237</v>
      </c>
      <c r="F477" t="inlineStr">
        <is>
          <t>VÄSTRA GÖTALANDS LÄN</t>
        </is>
      </c>
      <c r="G477" t="inlineStr">
        <is>
          <t>BENGTSFORS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47716-2024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46237</v>
      </c>
      <c r="F478" t="inlineStr">
        <is>
          <t>VÄSTRA GÖTALANDS LÄN</t>
        </is>
      </c>
      <c r="G478" t="inlineStr">
        <is>
          <t>BENGTSFORS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45218</v>
      </c>
      <c r="E479" s="1" t="n">
        <v>46237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46197</v>
      </c>
      <c r="E480" s="1" t="n">
        <v>46237</v>
      </c>
      <c r="F480" t="inlineStr">
        <is>
          <t>VÄSTRA GÖTALANDS LÄN</t>
        </is>
      </c>
      <c r="G480" t="inlineStr">
        <is>
          <t>BENGTSFORS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46237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46237</v>
      </c>
      <c r="F482" t="inlineStr">
        <is>
          <t>VÄSTRA GÖTALANDS LÄN</t>
        </is>
      </c>
      <c r="G482" t="inlineStr">
        <is>
          <t>BENGTSFORS</t>
        </is>
      </c>
      <c r="I482" t="n">
        <v>12.4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46237</v>
      </c>
      <c r="F483" t="inlineStr">
        <is>
          <t>VÄSTRA GÖTALANDS LÄN</t>
        </is>
      </c>
      <c r="G483" t="inlineStr">
        <is>
          <t>BENGTSFORS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46237</v>
      </c>
      <c r="F484" t="inlineStr">
        <is>
          <t>VÄSTRA GÖTALANDS LÄN</t>
        </is>
      </c>
      <c r="G484" t="inlineStr">
        <is>
          <t>BENGTSFORS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46237</v>
      </c>
      <c r="F485" t="inlineStr">
        <is>
          <t>VÄSTRA GÖTALANDS LÄN</t>
        </is>
      </c>
      <c r="G485" t="inlineStr">
        <is>
          <t>BENGTSFORS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46237</v>
      </c>
      <c r="F486" t="inlineStr">
        <is>
          <t>VÄSTRA GÖTALANDS LÄN</t>
        </is>
      </c>
      <c r="G486" t="inlineStr">
        <is>
          <t>BENGTSFORS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46237</v>
      </c>
      <c r="F487" t="inlineStr">
        <is>
          <t>VÄSTRA GÖTALANDS LÄN</t>
        </is>
      </c>
      <c r="G487" t="inlineStr">
        <is>
          <t>BENGTSFORS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46237</v>
      </c>
      <c r="F488" t="inlineStr">
        <is>
          <t>VÄSTRA GÖTALANDS LÄN</t>
        </is>
      </c>
      <c r="G488" t="inlineStr">
        <is>
          <t>BENGTSFORS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45063</v>
      </c>
      <c r="E489" s="1" t="n">
        <v>46237</v>
      </c>
      <c r="F489" t="inlineStr">
        <is>
          <t>VÄSTRA GÖTALANDS LÄN</t>
        </is>
      </c>
      <c r="G489" t="inlineStr">
        <is>
          <t>BENGTSFORS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45079</v>
      </c>
      <c r="E490" s="1" t="n">
        <v>46237</v>
      </c>
      <c r="F490" t="inlineStr">
        <is>
          <t>VÄSTRA GÖTALANDS LÄN</t>
        </is>
      </c>
      <c r="G490" t="inlineStr">
        <is>
          <t>BENGTSFORS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46237</v>
      </c>
      <c r="F491" t="inlineStr">
        <is>
          <t>VÄSTRA GÖTALANDS LÄN</t>
        </is>
      </c>
      <c r="G491" t="inlineStr">
        <is>
          <t>BENGTSFORS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45155</v>
      </c>
      <c r="E492" s="1" t="n">
        <v>46237</v>
      </c>
      <c r="F492" t="inlineStr">
        <is>
          <t>VÄSTRA GÖTALANDS LÄN</t>
        </is>
      </c>
      <c r="G492" t="inlineStr">
        <is>
          <t>BENGTSFORS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56381-2023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46237</v>
      </c>
      <c r="F493" t="inlineStr">
        <is>
          <t>VÄSTRA GÖTALANDS LÄN</t>
        </is>
      </c>
      <c r="G493" t="inlineStr">
        <is>
          <t>BENGTSFORS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40915-2024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46237</v>
      </c>
      <c r="F494" t="inlineStr">
        <is>
          <t>VÄSTRA GÖTALANDS LÄN</t>
        </is>
      </c>
      <c r="G494" t="inlineStr">
        <is>
          <t>BENGTSFORS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45583</v>
      </c>
      <c r="E495" s="1" t="n">
        <v>46237</v>
      </c>
      <c r="F495" t="inlineStr">
        <is>
          <t>VÄSTRA GÖTALANDS LÄN</t>
        </is>
      </c>
      <c r="G495" t="inlineStr">
        <is>
          <t>BENGTSFORS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45643</v>
      </c>
      <c r="E496" s="1" t="n">
        <v>46237</v>
      </c>
      <c r="F496" t="inlineStr">
        <is>
          <t>VÄSTRA GÖTALANDS LÄN</t>
        </is>
      </c>
      <c r="G496" t="inlineStr">
        <is>
          <t>BENGTSFORS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46237</v>
      </c>
      <c r="F497" t="inlineStr">
        <is>
          <t>VÄSTRA GÖTALANDS LÄN</t>
        </is>
      </c>
      <c r="G497" t="inlineStr">
        <is>
          <t>BENGTSFORS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46237</v>
      </c>
      <c r="F498" t="inlineStr">
        <is>
          <t>VÄSTRA GÖTALANDS LÄN</t>
        </is>
      </c>
      <c r="G498" t="inlineStr">
        <is>
          <t>BENGTSFORS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46237</v>
      </c>
      <c r="F499" t="inlineStr">
        <is>
          <t>VÄSTRA GÖTALANDS LÄN</t>
        </is>
      </c>
      <c r="G499" t="inlineStr">
        <is>
          <t>BENGTSFORS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46237</v>
      </c>
      <c r="F500" t="inlineStr">
        <is>
          <t>VÄSTRA GÖTALANDS LÄN</t>
        </is>
      </c>
      <c r="G500" t="inlineStr">
        <is>
          <t>BENGTSFORS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46237</v>
      </c>
      <c r="F501" t="inlineStr">
        <is>
          <t>VÄSTRA GÖTALANDS LÄN</t>
        </is>
      </c>
      <c r="G501" t="inlineStr">
        <is>
          <t>BENGTSFORS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46237</v>
      </c>
      <c r="F502" t="inlineStr">
        <is>
          <t>VÄSTRA GÖTALANDS LÄN</t>
        </is>
      </c>
      <c r="G502" t="inlineStr">
        <is>
          <t>BENGTSFORS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6114-2022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44599</v>
      </c>
      <c r="E503" s="1" t="n">
        <v>46237</v>
      </c>
      <c r="F503" t="inlineStr">
        <is>
          <t>VÄSTRA GÖTALANDS LÄN</t>
        </is>
      </c>
      <c r="G503" t="inlineStr">
        <is>
          <t>BENGTSFORS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46237</v>
      </c>
      <c r="F504" t="inlineStr">
        <is>
          <t>VÄSTRA GÖTALANDS LÄN</t>
        </is>
      </c>
      <c r="G504" t="inlineStr">
        <is>
          <t>BENGTSFORS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46237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45376</v>
      </c>
      <c r="E506" s="1" t="n">
        <v>46237</v>
      </c>
      <c r="F506" t="inlineStr">
        <is>
          <t>VÄSTRA GÖTALANDS LÄN</t>
        </is>
      </c>
      <c r="G506" t="inlineStr">
        <is>
          <t>BENGTSFORS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45719</v>
      </c>
      <c r="E507" s="1" t="n">
        <v>46237</v>
      </c>
      <c r="F507" t="inlineStr">
        <is>
          <t>VÄSTRA GÖTALANDS LÄN</t>
        </is>
      </c>
      <c r="G507" t="inlineStr">
        <is>
          <t>BENGTSFORS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46237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44835</v>
      </c>
      <c r="E509" s="1" t="n">
        <v>46237</v>
      </c>
      <c r="F509" t="inlineStr">
        <is>
          <t>VÄSTRA GÖTALANDS LÄN</t>
        </is>
      </c>
      <c r="G509" t="inlineStr">
        <is>
          <t>BENGTSFORS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46237</v>
      </c>
      <c r="F510" t="inlineStr">
        <is>
          <t>VÄSTRA GÖTALANDS LÄN</t>
        </is>
      </c>
      <c r="G510" t="inlineStr">
        <is>
          <t>BENGTSFORS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45055</v>
      </c>
      <c r="E511" s="1" t="n">
        <v>46237</v>
      </c>
      <c r="F511" t="inlineStr">
        <is>
          <t>VÄSTRA GÖTALANDS LÄN</t>
        </is>
      </c>
      <c r="G511" t="inlineStr">
        <is>
          <t>BENGTSFORS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45638</v>
      </c>
      <c r="E512" s="1" t="n">
        <v>46237</v>
      </c>
      <c r="F512" t="inlineStr">
        <is>
          <t>VÄSTRA GÖTALANDS LÄN</t>
        </is>
      </c>
      <c r="G512" t="inlineStr">
        <is>
          <t>BENGTSFORS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46237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44578</v>
      </c>
      <c r="E514" s="1" t="n">
        <v>46237</v>
      </c>
      <c r="F514" t="inlineStr">
        <is>
          <t>VÄSTRA GÖTALANDS LÄN</t>
        </is>
      </c>
      <c r="G514" t="inlineStr">
        <is>
          <t>BENGTSFORS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46237</v>
      </c>
      <c r="F515" t="inlineStr">
        <is>
          <t>VÄSTRA GÖTALANDS LÄN</t>
        </is>
      </c>
      <c r="G515" t="inlineStr">
        <is>
          <t>BENGTSFORS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44572</v>
      </c>
      <c r="E516" s="1" t="n">
        <v>46237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41118-2023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46237</v>
      </c>
      <c r="F517" t="inlineStr">
        <is>
          <t>VÄSTRA GÖTALANDS LÄN</t>
        </is>
      </c>
      <c r="G517" t="inlineStr">
        <is>
          <t>BENGTSFORS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46237</v>
      </c>
      <c r="F518" t="inlineStr">
        <is>
          <t>VÄSTRA GÖTALANDS LÄN</t>
        </is>
      </c>
      <c r="G518" t="inlineStr">
        <is>
          <t>BENGTSFORS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46237</v>
      </c>
      <c r="F519" t="inlineStr">
        <is>
          <t>VÄSTRA GÖTALANDS LÄN</t>
        </is>
      </c>
      <c r="G519" t="inlineStr">
        <is>
          <t>BENGTSFORS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46191</v>
      </c>
      <c r="E520" s="1" t="n">
        <v>46237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46191</v>
      </c>
      <c r="E521" s="1" t="n">
        <v>46237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46237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73585-2021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44552</v>
      </c>
      <c r="E523" s="1" t="n">
        <v>46237</v>
      </c>
      <c r="F523" t="inlineStr">
        <is>
          <t>VÄSTRA GÖTALANDS LÄN</t>
        </is>
      </c>
      <c r="G523" t="inlineStr">
        <is>
          <t>BENGTSFORS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46237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46237</v>
      </c>
      <c r="F525" t="inlineStr">
        <is>
          <t>VÄSTRA GÖTALANDS LÄN</t>
        </is>
      </c>
      <c r="G525" t="inlineStr">
        <is>
          <t>BENGTSFORS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10203-2026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46237</v>
      </c>
      <c r="F526" t="inlineStr">
        <is>
          <t>VÄSTRA GÖTALANDS LÄN</t>
        </is>
      </c>
      <c r="G526" t="inlineStr">
        <is>
          <t>BENGTSFORS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46237</v>
      </c>
      <c r="F527" t="inlineStr">
        <is>
          <t>VÄSTRA GÖTALANDS LÄN</t>
        </is>
      </c>
      <c r="G527" t="inlineStr">
        <is>
          <t>BENGTSFORS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46237</v>
      </c>
      <c r="F528" t="inlineStr">
        <is>
          <t>VÄSTRA GÖTALANDS LÄN</t>
        </is>
      </c>
      <c r="G528" t="inlineStr">
        <is>
          <t>BENGTSFORS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46237</v>
      </c>
      <c r="F529" t="inlineStr">
        <is>
          <t>VÄSTRA GÖTALANDS LÄN</t>
        </is>
      </c>
      <c r="G529" t="inlineStr">
        <is>
          <t>BENGTSFORS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13665-2022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44648</v>
      </c>
      <c r="E530" s="1" t="n">
        <v>46237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44929</v>
      </c>
      <c r="E531" s="1" t="n">
        <v>46237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Kyrkan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45071</v>
      </c>
      <c r="E532" s="1" t="n">
        <v>46237</v>
      </c>
      <c r="F532" t="inlineStr">
        <is>
          <t>VÄSTRA GÖTALANDS LÄN</t>
        </is>
      </c>
      <c r="G532" t="inlineStr">
        <is>
          <t>BENGTSFORS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46237</v>
      </c>
      <c r="F533" t="inlineStr">
        <is>
          <t>VÄSTRA GÖTALANDS LÄN</t>
        </is>
      </c>
      <c r="G533" t="inlineStr">
        <is>
          <t>BENGTSFORS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46237</v>
      </c>
      <c r="F534" t="inlineStr">
        <is>
          <t>VÄSTRA GÖTALANDS LÄN</t>
        </is>
      </c>
      <c r="G534" t="inlineStr">
        <is>
          <t>BENGTSFORS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4427-2024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45327</v>
      </c>
      <c r="E535" s="1" t="n">
        <v>46237</v>
      </c>
      <c r="F535" t="inlineStr">
        <is>
          <t>VÄSTRA GÖTALANDS LÄN</t>
        </is>
      </c>
      <c r="G535" t="inlineStr">
        <is>
          <t>BENGTSFORS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  <c r="Z535">
        <f>HYPERLINK("https://klasma.github.io/Logging_1460/knärot/A 4427-2024 karta knärot.png", "A 4427-2024")</f>
        <v/>
      </c>
      <c r="AA535">
        <f>HYPERLINK("https://klasma.github.io/Logging_1460/klagomål/A 4427-2024 FSC-klagomål.docx", "A 4427-2024")</f>
        <v/>
      </c>
      <c r="AB535">
        <f>HYPERLINK("https://klasma.github.io/Logging_1460/klagomålsmail/A 4427-2024 FSC-klagomål mail.docx", "A 4427-2024")</f>
        <v/>
      </c>
      <c r="AC535">
        <f>HYPERLINK("https://klasma.github.io/Logging_1460/tillsyn/A 4427-2024 tillsynsbegäran.docx", "A 4427-2024")</f>
        <v/>
      </c>
      <c r="AD535">
        <f>HYPERLINK("https://klasma.github.io/Logging_1460/tillsynsmail/A 4427-2024 tillsynsbegäran mail.docx", "A 4427-2024")</f>
        <v/>
      </c>
    </row>
    <row r="536" ht="15" customHeight="1">
      <c r="A536" t="inlineStr">
        <is>
          <t>A 19294-2022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44692</v>
      </c>
      <c r="E536" s="1" t="n">
        <v>46237</v>
      </c>
      <c r="F536" t="inlineStr">
        <is>
          <t>VÄSTRA GÖTALANDS LÄN</t>
        </is>
      </c>
      <c r="G536" t="inlineStr">
        <is>
          <t>BENGTSFORS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11265-2022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44629</v>
      </c>
      <c r="E537" s="1" t="n">
        <v>46237</v>
      </c>
      <c r="F537" t="inlineStr">
        <is>
          <t>VÄSTRA GÖTALANDS LÄN</t>
        </is>
      </c>
      <c r="G537" t="inlineStr">
        <is>
          <t>BENGTSFORS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41865-2023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46237</v>
      </c>
      <c r="F538" t="inlineStr">
        <is>
          <t>VÄSTRA GÖTALANDS LÄN</t>
        </is>
      </c>
      <c r="G538" t="inlineStr">
        <is>
          <t>BENGTSFORS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45663</v>
      </c>
      <c r="E539" s="1" t="n">
        <v>46237</v>
      </c>
      <c r="F539" t="inlineStr">
        <is>
          <t>VÄSTRA GÖTALANDS LÄN</t>
        </is>
      </c>
      <c r="G539" t="inlineStr">
        <is>
          <t>BENGTSFORS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46237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45365</v>
      </c>
      <c r="E541" s="1" t="n">
        <v>46237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46237</v>
      </c>
      <c r="F542" t="inlineStr">
        <is>
          <t>VÄSTRA GÖTALANDS LÄN</t>
        </is>
      </c>
      <c r="G542" t="inlineStr">
        <is>
          <t>BENGTSFORS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46237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46237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46237</v>
      </c>
      <c r="F545" t="inlineStr">
        <is>
          <t>VÄSTRA GÖTALANDS LÄN</t>
        </is>
      </c>
      <c r="G545" t="inlineStr">
        <is>
          <t>BENGTSFORS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46237</v>
      </c>
      <c r="F546" t="inlineStr">
        <is>
          <t>VÄSTRA GÖTALANDS LÄN</t>
        </is>
      </c>
      <c r="G546" t="inlineStr">
        <is>
          <t>BENGTSFORS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60522-2024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45643</v>
      </c>
      <c r="E547" s="1" t="n">
        <v>46237</v>
      </c>
      <c r="F547" t="inlineStr">
        <is>
          <t>VÄSTRA GÖTALANDS LÄN</t>
        </is>
      </c>
      <c r="G547" t="inlineStr">
        <is>
          <t>BENGTSFORS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13970-2023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45008</v>
      </c>
      <c r="E548" s="1" t="n">
        <v>46237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45050</v>
      </c>
      <c r="E549" s="1" t="n">
        <v>46237</v>
      </c>
      <c r="F549" t="inlineStr">
        <is>
          <t>VÄSTRA GÖTALANDS LÄN</t>
        </is>
      </c>
      <c r="G549" t="inlineStr">
        <is>
          <t>BENGTSFORS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46237</v>
      </c>
      <c r="F550" t="inlineStr">
        <is>
          <t>VÄSTRA GÖTALANDS LÄN</t>
        </is>
      </c>
      <c r="G550" t="inlineStr">
        <is>
          <t>BENGTSFORS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46237</v>
      </c>
      <c r="F551" t="inlineStr">
        <is>
          <t>VÄSTRA GÖTALANDS LÄN</t>
        </is>
      </c>
      <c r="G551" t="inlineStr">
        <is>
          <t>BENGTSFORS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44637</v>
      </c>
      <c r="E552" s="1" t="n">
        <v>46237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46237</v>
      </c>
      <c r="F553" t="inlineStr">
        <is>
          <t>VÄSTRA GÖTALANDS LÄN</t>
        </is>
      </c>
      <c r="G553" t="inlineStr">
        <is>
          <t>BENGTSFORS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44592</v>
      </c>
      <c r="E554" s="1" t="n">
        <v>46237</v>
      </c>
      <c r="F554" t="inlineStr">
        <is>
          <t>VÄSTRA GÖTALANDS LÄN</t>
        </is>
      </c>
      <c r="G554" t="inlineStr">
        <is>
          <t>BENGTSFORS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42532-2022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44831</v>
      </c>
      <c r="E555" s="1" t="n">
        <v>46237</v>
      </c>
      <c r="F555" t="inlineStr">
        <is>
          <t>VÄSTRA GÖTALANDS LÄN</t>
        </is>
      </c>
      <c r="G555" t="inlineStr">
        <is>
          <t>BENGTSFORS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46237</v>
      </c>
      <c r="F556" t="inlineStr">
        <is>
          <t>VÄSTRA GÖTALANDS LÄN</t>
        </is>
      </c>
      <c r="G556" t="inlineStr">
        <is>
          <t>BENGTSFORS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46237</v>
      </c>
      <c r="F557" t="inlineStr">
        <is>
          <t>VÄSTRA GÖTALANDS LÄN</t>
        </is>
      </c>
      <c r="G557" t="inlineStr">
        <is>
          <t>BENGTSFORS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46237</v>
      </c>
      <c r="F558" t="inlineStr">
        <is>
          <t>VÄSTRA GÖTALANDS LÄN</t>
        </is>
      </c>
      <c r="G558" t="inlineStr">
        <is>
          <t>BENGTSFORS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46237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46237</v>
      </c>
      <c r="F560" t="inlineStr">
        <is>
          <t>VÄSTRA GÖTALANDS LÄN</t>
        </is>
      </c>
      <c r="G560" t="inlineStr">
        <is>
          <t>BENGTSFORS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46237</v>
      </c>
      <c r="F561" t="inlineStr">
        <is>
          <t>VÄSTRA GÖTALANDS LÄN</t>
        </is>
      </c>
      <c r="G561" t="inlineStr">
        <is>
          <t>BENGTSFORS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46237</v>
      </c>
      <c r="F562" t="inlineStr">
        <is>
          <t>VÄSTRA GÖTALANDS LÄN</t>
        </is>
      </c>
      <c r="G562" t="inlineStr">
        <is>
          <t>BENGTSFORS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46237</v>
      </c>
      <c r="F563" t="inlineStr">
        <is>
          <t>VÄSTRA GÖTALANDS LÄN</t>
        </is>
      </c>
      <c r="G563" t="inlineStr">
        <is>
          <t>BENGTSFORS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46237</v>
      </c>
      <c r="F564" t="inlineStr">
        <is>
          <t>VÄSTRA GÖTALANDS LÄN</t>
        </is>
      </c>
      <c r="G564" t="inlineStr">
        <is>
          <t>BENGTSFORS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45358</v>
      </c>
      <c r="E565" s="1" t="n">
        <v>46237</v>
      </c>
      <c r="F565" t="inlineStr">
        <is>
          <t>VÄSTRA GÖTALANDS LÄN</t>
        </is>
      </c>
      <c r="G565" t="inlineStr">
        <is>
          <t>BENGTSFORS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46099</v>
      </c>
      <c r="E566" s="1" t="n">
        <v>46237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46237</v>
      </c>
      <c r="F567" t="inlineStr">
        <is>
          <t>VÄSTRA GÖTALANDS LÄN</t>
        </is>
      </c>
      <c r="G567" t="inlineStr">
        <is>
          <t>BENGTSFORS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45443</v>
      </c>
      <c r="E568" s="1" t="n">
        <v>46237</v>
      </c>
      <c r="F568" t="inlineStr">
        <is>
          <t>VÄSTRA GÖTALANDS LÄN</t>
        </is>
      </c>
      <c r="G568" t="inlineStr">
        <is>
          <t>BENGTSFORS</t>
        </is>
      </c>
      <c r="H568" t="inlineStr">
        <is>
          <t>Kyrkan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44615</v>
      </c>
      <c r="E569" s="1" t="n">
        <v>46237</v>
      </c>
      <c r="F569" t="inlineStr">
        <is>
          <t>VÄSTRA GÖTALANDS LÄN</t>
        </is>
      </c>
      <c r="G569" t="inlineStr">
        <is>
          <t>BENGTSFORS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14617-2022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44655</v>
      </c>
      <c r="E570" s="1" t="n">
        <v>46237</v>
      </c>
      <c r="F570" t="inlineStr">
        <is>
          <t>VÄSTRA GÖTALANDS LÄN</t>
        </is>
      </c>
      <c r="G570" t="inlineStr">
        <is>
          <t>BENGTSFORS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46237</v>
      </c>
      <c r="F571" t="inlineStr">
        <is>
          <t>VÄSTRA GÖTALANDS LÄN</t>
        </is>
      </c>
      <c r="G571" t="inlineStr">
        <is>
          <t>BENGTSFORS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46237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46237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Kyrkan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45313</v>
      </c>
      <c r="E574" s="1" t="n">
        <v>46237</v>
      </c>
      <c r="F574" t="inlineStr">
        <is>
          <t>VÄSTRA GÖTALANDS LÄN</t>
        </is>
      </c>
      <c r="G574" t="inlineStr">
        <is>
          <t>BENGTSFORS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45693</v>
      </c>
      <c r="E575" s="1" t="n">
        <v>46237</v>
      </c>
      <c r="F575" t="inlineStr">
        <is>
          <t>VÄSTRA GÖTALANDS LÄN</t>
        </is>
      </c>
      <c r="G575" t="inlineStr">
        <is>
          <t>BENGTSFORS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44876</v>
      </c>
      <c r="E576" s="1" t="n">
        <v>46237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45698</v>
      </c>
      <c r="E577" s="1" t="n">
        <v>46237</v>
      </c>
      <c r="F577" t="inlineStr">
        <is>
          <t>VÄSTRA GÖTALANDS LÄN</t>
        </is>
      </c>
      <c r="G577" t="inlineStr">
        <is>
          <t>BENGTSFORS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16194-2026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46111</v>
      </c>
      <c r="E578" s="1" t="n">
        <v>46237</v>
      </c>
      <c r="F578" t="inlineStr">
        <is>
          <t>VÄSTRA GÖTALANDS LÄN</t>
        </is>
      </c>
      <c r="G578" t="inlineStr">
        <is>
          <t>BENGTSFORS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45195</v>
      </c>
      <c r="E579" s="1" t="n">
        <v>46237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16107-2026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46237</v>
      </c>
      <c r="F580" t="inlineStr">
        <is>
          <t>VÄSTRA GÖTALANDS LÄN</t>
        </is>
      </c>
      <c r="G580" t="inlineStr">
        <is>
          <t>BENGTSFORS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46237</v>
      </c>
      <c r="F581" t="inlineStr">
        <is>
          <t>VÄSTRA GÖTALANDS LÄN</t>
        </is>
      </c>
      <c r="G581" t="inlineStr">
        <is>
          <t>BENGTSFORS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16936-2022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44676</v>
      </c>
      <c r="E582" s="1" t="n">
        <v>46237</v>
      </c>
      <c r="F582" t="inlineStr">
        <is>
          <t>VÄSTRA GÖTALANDS LÄN</t>
        </is>
      </c>
      <c r="G582" t="inlineStr">
        <is>
          <t>BENGTSFORS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46112</v>
      </c>
      <c r="E583" s="1" t="n">
        <v>46237</v>
      </c>
      <c r="F583" t="inlineStr">
        <is>
          <t>VÄSTRA GÖTALANDS LÄN</t>
        </is>
      </c>
      <c r="G583" t="inlineStr">
        <is>
          <t>BENGTSFORS</t>
        </is>
      </c>
      <c r="H583" t="inlineStr">
        <is>
          <t>Kyrkan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46237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Kyrkan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46237</v>
      </c>
      <c r="F585" t="inlineStr">
        <is>
          <t>VÄSTRA GÖTALANDS LÄN</t>
        </is>
      </c>
      <c r="G585" t="inlineStr">
        <is>
          <t>BENGTSFORS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46237</v>
      </c>
      <c r="F586" t="inlineStr">
        <is>
          <t>VÄSTRA GÖTALANDS LÄN</t>
        </is>
      </c>
      <c r="G586" t="inlineStr">
        <is>
          <t>BENGTSFORS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60023-2023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46237</v>
      </c>
      <c r="F587" t="inlineStr">
        <is>
          <t>VÄSTRA GÖTALANDS LÄN</t>
        </is>
      </c>
      <c r="G587" t="inlineStr">
        <is>
          <t>BENGTSFORS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46237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44608</v>
      </c>
      <c r="E589" s="1" t="n">
        <v>46237</v>
      </c>
      <c r="F589" t="inlineStr">
        <is>
          <t>VÄSTRA GÖTALANDS LÄN</t>
        </is>
      </c>
      <c r="G589" t="inlineStr">
        <is>
          <t>BENGTSFORS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44826</v>
      </c>
      <c r="E590" s="1" t="n">
        <v>46237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45121</v>
      </c>
      <c r="E591" s="1" t="n">
        <v>46237</v>
      </c>
      <c r="F591" t="inlineStr">
        <is>
          <t>VÄSTRA GÖTALANDS LÄN</t>
        </is>
      </c>
      <c r="G591" t="inlineStr">
        <is>
          <t>BENGTSFORS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44704</v>
      </c>
      <c r="E592" s="1" t="n">
        <v>46237</v>
      </c>
      <c r="F592" t="inlineStr">
        <is>
          <t>VÄSTRA GÖTALANDS LÄN</t>
        </is>
      </c>
      <c r="G592" t="inlineStr">
        <is>
          <t>BENGTSFORS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46237</v>
      </c>
      <c r="F593" t="inlineStr">
        <is>
          <t>VÄSTRA GÖTALANDS LÄN</t>
        </is>
      </c>
      <c r="G593" t="inlineStr">
        <is>
          <t>BENGTSFORS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46237</v>
      </c>
      <c r="F594" t="inlineStr">
        <is>
          <t>VÄSTRA GÖTALANDS LÄN</t>
        </is>
      </c>
      <c r="G594" t="inlineStr">
        <is>
          <t>BENGTSFORS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46237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46237</v>
      </c>
      <c r="F596" t="inlineStr">
        <is>
          <t>VÄSTRA GÖTALANDS LÄN</t>
        </is>
      </c>
      <c r="G596" t="inlineStr">
        <is>
          <t>BENGTSFORS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45511</v>
      </c>
      <c r="E597" s="1" t="n">
        <v>46237</v>
      </c>
      <c r="F597" t="inlineStr">
        <is>
          <t>VÄSTRA GÖTALANDS LÄN</t>
        </is>
      </c>
      <c r="G597" t="inlineStr">
        <is>
          <t>BENGTSFORS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46237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46237</v>
      </c>
      <c r="F599" t="inlineStr">
        <is>
          <t>VÄSTRA GÖTALANDS LÄN</t>
        </is>
      </c>
      <c r="G599" t="inlineStr">
        <is>
          <t>BENGTSFORS</t>
        </is>
      </c>
      <c r="I599" t="n">
        <v>21.7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45415</v>
      </c>
      <c r="E600" s="1" t="n">
        <v>46237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45257</v>
      </c>
      <c r="E601" s="1" t="n">
        <v>46237</v>
      </c>
      <c r="F601" t="inlineStr">
        <is>
          <t>VÄSTRA GÖTALANDS LÄN</t>
        </is>
      </c>
      <c r="G601" t="inlineStr">
        <is>
          <t>BENGTSFORS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46237</v>
      </c>
      <c r="F602" t="inlineStr">
        <is>
          <t>VÄSTRA GÖTALANDS LÄN</t>
        </is>
      </c>
      <c r="G602" t="inlineStr">
        <is>
          <t>BENGTSFORS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54590-2023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45233</v>
      </c>
      <c r="E603" s="1" t="n">
        <v>46237</v>
      </c>
      <c r="F603" t="inlineStr">
        <is>
          <t>VÄSTRA GÖTALANDS LÄN</t>
        </is>
      </c>
      <c r="G603" t="inlineStr">
        <is>
          <t>BENGTSFORS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63724-2025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46237</v>
      </c>
      <c r="F604" t="inlineStr">
        <is>
          <t>VÄSTRA GÖTALANDS LÄN</t>
        </is>
      </c>
      <c r="G604" t="inlineStr">
        <is>
          <t>BENGTSFORS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46237</v>
      </c>
      <c r="F605" t="inlineStr">
        <is>
          <t>VÄSTRA GÖTALANDS LÄN</t>
        </is>
      </c>
      <c r="G605" t="inlineStr">
        <is>
          <t>BENGTSFORS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46237</v>
      </c>
      <c r="F606" t="inlineStr">
        <is>
          <t>VÄSTRA GÖTALANDS LÄN</t>
        </is>
      </c>
      <c r="G606" t="inlineStr">
        <is>
          <t>BENGTSFORS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60660-2023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45260</v>
      </c>
      <c r="E607" s="1" t="n">
        <v>46237</v>
      </c>
      <c r="F607" t="inlineStr">
        <is>
          <t>VÄSTRA GÖTALANDS LÄN</t>
        </is>
      </c>
      <c r="G607" t="inlineStr">
        <is>
          <t>BENGTSFORS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11885-2024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46237</v>
      </c>
      <c r="F608" t="inlineStr">
        <is>
          <t>VÄSTRA GÖTALANDS LÄN</t>
        </is>
      </c>
      <c r="G608" t="inlineStr">
        <is>
          <t>BENGTSFORS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46237</v>
      </c>
      <c r="F609" t="inlineStr">
        <is>
          <t>VÄSTRA GÖTALANDS LÄN</t>
        </is>
      </c>
      <c r="G609" t="inlineStr">
        <is>
          <t>BENGTSFORS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46323-2021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44442</v>
      </c>
      <c r="E610" s="1" t="n">
        <v>46237</v>
      </c>
      <c r="F610" t="inlineStr">
        <is>
          <t>VÄSTRA GÖTALANDS LÄN</t>
        </is>
      </c>
      <c r="G610" t="inlineStr">
        <is>
          <t>BENGTSFORS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29229-2022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44750</v>
      </c>
      <c r="E611" s="1" t="n">
        <v>46237</v>
      </c>
      <c r="F611" t="inlineStr">
        <is>
          <t>VÄSTRA GÖTALANDS LÄN</t>
        </is>
      </c>
      <c r="G611" t="inlineStr">
        <is>
          <t>BENGTSFORS</t>
        </is>
      </c>
      <c r="I611" t="n">
        <v>22.1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44596</v>
      </c>
      <c r="E612" s="1" t="n">
        <v>46237</v>
      </c>
      <c r="F612" t="inlineStr">
        <is>
          <t>VÄSTRA GÖTALANDS LÄN</t>
        </is>
      </c>
      <c r="G612" t="inlineStr">
        <is>
          <t>BENGTSFORS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44496</v>
      </c>
      <c r="E613" s="1" t="n">
        <v>46237</v>
      </c>
      <c r="F613" t="inlineStr">
        <is>
          <t>VÄSTRA GÖTALANDS LÄN</t>
        </is>
      </c>
      <c r="G613" t="inlineStr">
        <is>
          <t>BENGTSFORS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46237</v>
      </c>
      <c r="F614" t="inlineStr">
        <is>
          <t>VÄSTRA GÖTALANDS LÄN</t>
        </is>
      </c>
      <c r="G614" t="inlineStr">
        <is>
          <t>BENGTSFORS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44935</v>
      </c>
      <c r="E615" s="1" t="n">
        <v>46237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45937</v>
      </c>
      <c r="E616" s="1" t="n">
        <v>46237</v>
      </c>
      <c r="F616" t="inlineStr">
        <is>
          <t>VÄSTRA GÖTALANDS LÄN</t>
        </is>
      </c>
      <c r="G616" t="inlineStr">
        <is>
          <t>BENGTSFORS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64837-2021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44512</v>
      </c>
      <c r="E617" s="1" t="n">
        <v>46237</v>
      </c>
      <c r="F617" t="inlineStr">
        <is>
          <t>VÄSTRA GÖTALANDS LÄN</t>
        </is>
      </c>
      <c r="G617" t="inlineStr">
        <is>
          <t>BENGTSFORS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59616-2022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44907</v>
      </c>
      <c r="E618" s="1" t="n">
        <v>46237</v>
      </c>
      <c r="F618" t="inlineStr">
        <is>
          <t>VÄSTRA GÖTALANDS LÄN</t>
        </is>
      </c>
      <c r="G618" t="inlineStr">
        <is>
          <t>BENGTSFORS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44830</v>
      </c>
      <c r="E619" s="1" t="n">
        <v>46237</v>
      </c>
      <c r="F619" t="inlineStr">
        <is>
          <t>VÄSTRA GÖTALANDS LÄN</t>
        </is>
      </c>
      <c r="G619" t="inlineStr">
        <is>
          <t>BENGTSFORS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44653-2025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45917</v>
      </c>
      <c r="E620" s="1" t="n">
        <v>46237</v>
      </c>
      <c r="F620" t="inlineStr">
        <is>
          <t>VÄSTRA GÖTALANDS LÄN</t>
        </is>
      </c>
      <c r="G620" t="inlineStr">
        <is>
          <t>BENGTSFORS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44642</v>
      </c>
      <c r="E621" s="1" t="n">
        <v>46237</v>
      </c>
      <c r="F621" t="inlineStr">
        <is>
          <t>VÄSTRA GÖTALANDS LÄN</t>
        </is>
      </c>
      <c r="G621" t="inlineStr">
        <is>
          <t>BENGTSFORS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45792</v>
      </c>
      <c r="E622" s="1" t="n">
        <v>46237</v>
      </c>
      <c r="F622" t="inlineStr">
        <is>
          <t>VÄSTRA GÖTALANDS LÄN</t>
        </is>
      </c>
      <c r="G622" t="inlineStr">
        <is>
          <t>BENGTSFORS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45792</v>
      </c>
      <c r="E623" s="1" t="n">
        <v>46237</v>
      </c>
      <c r="F623" t="inlineStr">
        <is>
          <t>VÄSTRA GÖTALANDS LÄN</t>
        </is>
      </c>
      <c r="G623" t="inlineStr">
        <is>
          <t>BENGTSFORS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60105-2021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44495</v>
      </c>
      <c r="E624" s="1" t="n">
        <v>46237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45792</v>
      </c>
      <c r="E625" s="1" t="n">
        <v>46237</v>
      </c>
      <c r="F625" t="inlineStr">
        <is>
          <t>VÄSTRA GÖTALANDS LÄN</t>
        </is>
      </c>
      <c r="G625" t="inlineStr">
        <is>
          <t>BENGTSFORS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15104-2024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45399</v>
      </c>
      <c r="E626" s="1" t="n">
        <v>46237</v>
      </c>
      <c r="F626" t="inlineStr">
        <is>
          <t>VÄSTRA GÖTALANDS LÄN</t>
        </is>
      </c>
      <c r="G626" t="inlineStr">
        <is>
          <t>BENGTSFORS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22548-2025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45788</v>
      </c>
      <c r="E627" s="1" t="n">
        <v>46237</v>
      </c>
      <c r="F627" t="inlineStr">
        <is>
          <t>VÄSTRA GÖTALANDS LÄN</t>
        </is>
      </c>
      <c r="G627" t="inlineStr">
        <is>
          <t>BENGTSFORS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45520</v>
      </c>
      <c r="E628" s="1" t="n">
        <v>46237</v>
      </c>
      <c r="F628" t="inlineStr">
        <is>
          <t>VÄSTRA GÖTALANDS LÄN</t>
        </is>
      </c>
      <c r="G628" t="inlineStr">
        <is>
          <t>BENGTSFORS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45335</v>
      </c>
      <c r="E629" s="1" t="n">
        <v>46237</v>
      </c>
      <c r="F629" t="inlineStr">
        <is>
          <t>VÄSTRA GÖTALANDS LÄN</t>
        </is>
      </c>
      <c r="G629" t="inlineStr">
        <is>
          <t>BENGTSFORS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46237</v>
      </c>
      <c r="F630" t="inlineStr">
        <is>
          <t>VÄSTRA GÖTALANDS LÄN</t>
        </is>
      </c>
      <c r="G630" t="inlineStr">
        <is>
          <t>BENGTSFORS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46237</v>
      </c>
      <c r="F631" t="inlineStr">
        <is>
          <t>VÄSTRA GÖTALANDS LÄN</t>
        </is>
      </c>
      <c r="G631" t="inlineStr">
        <is>
          <t>BENGTSFORS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53531-2023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45230</v>
      </c>
      <c r="E632" s="1" t="n">
        <v>46237</v>
      </c>
      <c r="F632" t="inlineStr">
        <is>
          <t>VÄSTRA GÖTALANDS LÄN</t>
        </is>
      </c>
      <c r="G632" t="inlineStr">
        <is>
          <t>BENGTSFORS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55998-2022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44889</v>
      </c>
      <c r="E633" s="1" t="n">
        <v>46237</v>
      </c>
      <c r="F633" t="inlineStr">
        <is>
          <t>VÄSTRA GÖTALANDS LÄN</t>
        </is>
      </c>
      <c r="G633" t="inlineStr">
        <is>
          <t>BENGTSFORS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45772</v>
      </c>
      <c r="E634" s="1" t="n">
        <v>46237</v>
      </c>
      <c r="F634" t="inlineStr">
        <is>
          <t>VÄSTRA GÖTALANDS LÄN</t>
        </is>
      </c>
      <c r="G634" t="inlineStr">
        <is>
          <t>BENGTSFORS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45737</v>
      </c>
      <c r="E635" s="1" t="n">
        <v>46237</v>
      </c>
      <c r="F635" t="inlineStr">
        <is>
          <t>VÄSTRA GÖTALANDS LÄN</t>
        </is>
      </c>
      <c r="G635" t="inlineStr">
        <is>
          <t>BENGTSFORS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45558</v>
      </c>
      <c r="E636" s="1" t="n">
        <v>46237</v>
      </c>
      <c r="F636" t="inlineStr">
        <is>
          <t>VÄSTRA GÖTALANDS LÄN</t>
        </is>
      </c>
      <c r="G636" t="inlineStr">
        <is>
          <t>BENGTSFORS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45673</v>
      </c>
      <c r="E637" s="1" t="n">
        <v>46237</v>
      </c>
      <c r="F637" t="inlineStr">
        <is>
          <t>VÄSTRA GÖTALANDS LÄN</t>
        </is>
      </c>
      <c r="G637" t="inlineStr">
        <is>
          <t>BENGTSFORS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46237</v>
      </c>
      <c r="F638" t="inlineStr">
        <is>
          <t>VÄSTRA GÖTALANDS LÄN</t>
        </is>
      </c>
      <c r="G638" t="inlineStr">
        <is>
          <t>BENGTSFORS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46237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50946-2023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45218</v>
      </c>
      <c r="E640" s="1" t="n">
        <v>46237</v>
      </c>
      <c r="F640" t="inlineStr">
        <is>
          <t>VÄSTRA GÖTALANDS LÄN</t>
        </is>
      </c>
      <c r="G640" t="inlineStr">
        <is>
          <t>BENGTSFORS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35188-2024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45530</v>
      </c>
      <c r="E641" s="1" t="n">
        <v>46237</v>
      </c>
      <c r="F641" t="inlineStr">
        <is>
          <t>VÄSTRA GÖTALANDS LÄN</t>
        </is>
      </c>
      <c r="G641" t="inlineStr">
        <is>
          <t>BENGTSFORS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46237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46237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46237</v>
      </c>
      <c r="F644" t="inlineStr">
        <is>
          <t>VÄSTRA GÖTALANDS LÄN</t>
        </is>
      </c>
      <c r="G644" t="inlineStr">
        <is>
          <t>BENGTSFORS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45363</v>
      </c>
      <c r="E645" s="1" t="n">
        <v>46237</v>
      </c>
      <c r="F645" t="inlineStr">
        <is>
          <t>VÄSTRA GÖTALANDS LÄN</t>
        </is>
      </c>
      <c r="G645" t="inlineStr">
        <is>
          <t>BENGTSFORS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46237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Kyrkan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35690-2024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45532</v>
      </c>
      <c r="E647" s="1" t="n">
        <v>46237</v>
      </c>
      <c r="F647" t="inlineStr">
        <is>
          <t>VÄSTRA GÖTALANDS LÄN</t>
        </is>
      </c>
      <c r="G647" t="inlineStr">
        <is>
          <t>BENGTSFORS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58996-2022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44903</v>
      </c>
      <c r="E648" s="1" t="n">
        <v>46237</v>
      </c>
      <c r="F648" t="inlineStr">
        <is>
          <t>VÄSTRA GÖTALANDS LÄN</t>
        </is>
      </c>
      <c r="G648" t="inlineStr">
        <is>
          <t>BENGTSFORS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45309</v>
      </c>
      <c r="E649" s="1" t="n">
        <v>46237</v>
      </c>
      <c r="F649" t="inlineStr">
        <is>
          <t>VÄSTRA GÖTALANDS LÄN</t>
        </is>
      </c>
      <c r="G649" t="inlineStr">
        <is>
          <t>BENGTSFORS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28460-2024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45477</v>
      </c>
      <c r="E650" s="1" t="n">
        <v>46237</v>
      </c>
      <c r="F650" t="inlineStr">
        <is>
          <t>VÄSTRA GÖTALANDS LÄN</t>
        </is>
      </c>
      <c r="G650" t="inlineStr">
        <is>
          <t>BENGTSFORS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45575</v>
      </c>
      <c r="E651" s="1" t="n">
        <v>46237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46237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10882-2025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45722</v>
      </c>
      <c r="E653" s="1" t="n">
        <v>46237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45378</v>
      </c>
      <c r="E654" s="1" t="n">
        <v>46237</v>
      </c>
      <c r="F654" t="inlineStr">
        <is>
          <t>VÄSTRA GÖTALANDS LÄN</t>
        </is>
      </c>
      <c r="G654" t="inlineStr">
        <is>
          <t>BENGTSFORS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46237</v>
      </c>
      <c r="F655" t="inlineStr">
        <is>
          <t>VÄSTRA GÖTALANDS LÄN</t>
        </is>
      </c>
      <c r="G655" t="inlineStr">
        <is>
          <t>BENGTSFORS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45198</v>
      </c>
      <c r="E656" s="1" t="n">
        <v>46237</v>
      </c>
      <c r="F656" t="inlineStr">
        <is>
          <t>VÄSTRA GÖTALANDS LÄN</t>
        </is>
      </c>
      <c r="G656" t="inlineStr">
        <is>
          <t>BENGTSFORS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37736-2024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45541</v>
      </c>
      <c r="E657" s="1" t="n">
        <v>46237</v>
      </c>
      <c r="F657" t="inlineStr">
        <is>
          <t>VÄSTRA GÖTALANDS LÄN</t>
        </is>
      </c>
      <c r="G657" t="inlineStr">
        <is>
          <t>BENGTSFORS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46237</v>
      </c>
      <c r="F658" t="inlineStr">
        <is>
          <t>VÄSTRA GÖTALANDS LÄN</t>
        </is>
      </c>
      <c r="G658" t="inlineStr">
        <is>
          <t>BENGTSFORS</t>
        </is>
      </c>
      <c r="I658" t="n">
        <v>12.1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45818</v>
      </c>
      <c r="E659" s="1" t="n">
        <v>46237</v>
      </c>
      <c r="F659" t="inlineStr">
        <is>
          <t>VÄSTRA GÖTALANDS LÄN</t>
        </is>
      </c>
      <c r="G659" t="inlineStr">
        <is>
          <t>BENGTSFORS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46237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46237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46237</v>
      </c>
      <c r="F662" t="inlineStr">
        <is>
          <t>VÄSTRA GÖTALANDS LÄN</t>
        </is>
      </c>
      <c r="G662" t="inlineStr">
        <is>
          <t>BENGTSFORS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28320-2025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46237</v>
      </c>
      <c r="F663" t="inlineStr">
        <is>
          <t>VÄSTRA GÖTALANDS LÄN</t>
        </is>
      </c>
      <c r="G663" t="inlineStr">
        <is>
          <t>BENGTSFORS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46237</v>
      </c>
      <c r="F664" t="inlineStr">
        <is>
          <t>VÄSTRA GÖTALANDS LÄN</t>
        </is>
      </c>
      <c r="G664" t="inlineStr">
        <is>
          <t>BENGTSFORS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45834</v>
      </c>
      <c r="E665" s="1" t="n">
        <v>46237</v>
      </c>
      <c r="F665" t="inlineStr">
        <is>
          <t>VÄSTRA GÖTALANDS LÄN</t>
        </is>
      </c>
      <c r="G665" t="inlineStr">
        <is>
          <t>BENGTSFORS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20526-2025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45775</v>
      </c>
      <c r="E666" s="1" t="n">
        <v>46237</v>
      </c>
      <c r="F666" t="inlineStr">
        <is>
          <t>VÄSTRA GÖTALANDS LÄN</t>
        </is>
      </c>
      <c r="G666" t="inlineStr">
        <is>
          <t>BENGTSFORS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46237</v>
      </c>
      <c r="F667" t="inlineStr">
        <is>
          <t>VÄSTRA GÖTALANDS LÄN</t>
        </is>
      </c>
      <c r="G667" t="inlineStr">
        <is>
          <t>BENGTSFORS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61047-2024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45645</v>
      </c>
      <c r="E668" s="1" t="n">
        <v>46237</v>
      </c>
      <c r="F668" t="inlineStr">
        <is>
          <t>VÄSTRA GÖTALANDS LÄN</t>
        </is>
      </c>
      <c r="G668" t="inlineStr">
        <is>
          <t>BENGTSFORS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35815-2025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45861</v>
      </c>
      <c r="E669" s="1" t="n">
        <v>46237</v>
      </c>
      <c r="F669" t="inlineStr">
        <is>
          <t>VÄSTRA GÖTALANDS LÄN</t>
        </is>
      </c>
      <c r="G669" t="inlineStr">
        <is>
          <t>BENGTSFORS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45785</v>
      </c>
      <c r="E670" s="1" t="n">
        <v>46237</v>
      </c>
      <c r="F670" t="inlineStr">
        <is>
          <t>VÄSTRA GÖTALANDS LÄN</t>
        </is>
      </c>
      <c r="G670" t="inlineStr">
        <is>
          <t>BENGTSFORS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55968-2024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46237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45867</v>
      </c>
      <c r="E672" s="1" t="n">
        <v>46237</v>
      </c>
      <c r="F672" t="inlineStr">
        <is>
          <t>VÄSTRA GÖTALANDS LÄN</t>
        </is>
      </c>
      <c r="G672" t="inlineStr">
        <is>
          <t>BENGTSFORS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37549-2025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45879</v>
      </c>
      <c r="E673" s="1" t="n">
        <v>46237</v>
      </c>
      <c r="F673" t="inlineStr">
        <is>
          <t>VÄSTRA GÖTALANDS LÄN</t>
        </is>
      </c>
      <c r="G673" t="inlineStr">
        <is>
          <t>BENGTSFORS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46237</v>
      </c>
      <c r="F674" t="inlineStr">
        <is>
          <t>VÄSTRA GÖTALANDS LÄN</t>
        </is>
      </c>
      <c r="G674" t="inlineStr">
        <is>
          <t>BENGTSFORS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45881</v>
      </c>
      <c r="E675" s="1" t="n">
        <v>46237</v>
      </c>
      <c r="F675" t="inlineStr">
        <is>
          <t>VÄSTRA GÖTALANDS LÄN</t>
        </is>
      </c>
      <c r="G675" t="inlineStr">
        <is>
          <t>BENGTSFORS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46237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46237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46237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46237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46237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46237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46237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46237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46237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46237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46237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46237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46237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46237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2026-08-03T01:58:26Z</dcterms:created>
  <dcterms:modified xmlns:dcterms="http://purl.org/dc/terms/" xmlns:xsi="http://www.w3.org/2001/XMLSchema-instance" xsi:type="dcterms:W3CDTF">2026-08-03T01:58:27Z</dcterms:modified>
</cp:coreProperties>
</file>