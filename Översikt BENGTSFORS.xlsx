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45362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45362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45362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45362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45362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45362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45362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45362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45362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8596-2022</t>
        </is>
      </c>
      <c r="B11" s="1" t="n">
        <v>44613</v>
      </c>
      <c r="C11" s="1" t="n">
        <v>45362</v>
      </c>
      <c r="D11" t="inlineStr">
        <is>
          <t>VÄSTRA GÖTALANDS LÄN</t>
        </is>
      </c>
      <c r="E11" t="inlineStr">
        <is>
          <t>BENGTSFORS</t>
        </is>
      </c>
      <c r="G11" t="n">
        <v>5.8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Tallbit
Havsörn
Kambräken
Nötkråka</t>
        </is>
      </c>
      <c r="S11">
        <f>HYPERLINK("https://klasma.github.io/Logging_1460/artfynd/A 8596-2022 artfynd.xlsx", "A 8596-2022")</f>
        <v/>
      </c>
      <c r="T11">
        <f>HYPERLINK("https://klasma.github.io/Logging_1460/kartor/A 8596-2022 karta.png", "A 8596-2022")</f>
        <v/>
      </c>
      <c r="V11">
        <f>HYPERLINK("https://klasma.github.io/Logging_1460/klagomål/A 8596-2022 FSC-klagomål.docx", "A 8596-2022")</f>
        <v/>
      </c>
      <c r="W11">
        <f>HYPERLINK("https://klasma.github.io/Logging_1460/klagomålsmail/A 8596-2022 FSC-klagomål mail.docx", "A 8596-2022")</f>
        <v/>
      </c>
      <c r="X11">
        <f>HYPERLINK("https://klasma.github.io/Logging_1460/tillsyn/A 8596-2022 tillsynsbegäran.docx", "A 8596-2022")</f>
        <v/>
      </c>
      <c r="Y11">
        <f>HYPERLINK("https://klasma.github.io/Logging_1460/tillsynsmail/A 8596-2022 tillsynsbegäran mail.docx", "A 8596-2022")</f>
        <v/>
      </c>
      <c r="Z11">
        <f>HYPERLINK("https://klasma.github.io/Logging_1460/fåglar/A 8596-2022 prioriterade fågelarter.docx", "A 8596-2022")</f>
        <v/>
      </c>
    </row>
    <row r="12" ht="15" customHeight="1">
      <c r="A12" t="inlineStr">
        <is>
          <t>A 9721-2019</t>
        </is>
      </c>
      <c r="B12" s="1" t="n">
        <v>43508</v>
      </c>
      <c r="C12" s="1" t="n">
        <v>45362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Klasefibbla
Månlåsbräken
Skogsklocka</t>
        </is>
      </c>
      <c r="S12">
        <f>HYPERLINK("https://klasma.github.io/Logging_1460/artfynd/A 9721-2019 artfynd.xlsx", "A 9721-2019")</f>
        <v/>
      </c>
      <c r="T12">
        <f>HYPERLINK("https://klasma.github.io/Logging_1460/kartor/A 9721-2019 karta.png", "A 9721-2019")</f>
        <v/>
      </c>
      <c r="V12">
        <f>HYPERLINK("https://klasma.github.io/Logging_1460/klagomål/A 9721-2019 FSC-klagomål.docx", "A 9721-2019")</f>
        <v/>
      </c>
      <c r="W12">
        <f>HYPERLINK("https://klasma.github.io/Logging_1460/klagomålsmail/A 9721-2019 FSC-klagomål mail.docx", "A 9721-2019")</f>
        <v/>
      </c>
      <c r="X12">
        <f>HYPERLINK("https://klasma.github.io/Logging_1460/tillsyn/A 9721-2019 tillsynsbegäran.docx", "A 9721-2019")</f>
        <v/>
      </c>
      <c r="Y12">
        <f>HYPERLINK("https://klasma.github.io/Logging_1460/tillsynsmail/A 9721-2019 tillsynsbegäran mail.docx", "A 9721-2019")</f>
        <v/>
      </c>
    </row>
    <row r="13" ht="15" customHeight="1">
      <c r="A13" t="inlineStr">
        <is>
          <t>A 53197-2023</t>
        </is>
      </c>
      <c r="B13" s="1" t="n">
        <v>45229</v>
      </c>
      <c r="C13" s="1" t="n">
        <v>45362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29573-2019</t>
        </is>
      </c>
      <c r="B14" s="1" t="n">
        <v>43628</v>
      </c>
      <c r="C14" s="1" t="n">
        <v>45362</v>
      </c>
      <c r="D14" t="inlineStr">
        <is>
          <t>VÄSTRA GÖTALANDS LÄN</t>
        </is>
      </c>
      <c r="E14" t="inlineStr">
        <is>
          <t>BENGTSFORS</t>
        </is>
      </c>
      <c r="G14" t="n">
        <v>10.9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Sårläka</t>
        </is>
      </c>
      <c r="S14">
        <f>HYPERLINK("https://klasma.github.io/Logging_1460/artfynd/A 29573-2019 artfynd.xlsx", "A 29573-2019")</f>
        <v/>
      </c>
      <c r="T14">
        <f>HYPERLINK("https://klasma.github.io/Logging_1460/kartor/A 29573-2019 karta.png", "A 29573-2019")</f>
        <v/>
      </c>
      <c r="V14">
        <f>HYPERLINK("https://klasma.github.io/Logging_1460/klagomål/A 29573-2019 FSC-klagomål.docx", "A 29573-2019")</f>
        <v/>
      </c>
      <c r="W14">
        <f>HYPERLINK("https://klasma.github.io/Logging_1460/klagomålsmail/A 29573-2019 FSC-klagomål mail.docx", "A 29573-2019")</f>
        <v/>
      </c>
      <c r="X14">
        <f>HYPERLINK("https://klasma.github.io/Logging_1460/tillsyn/A 29573-2019 tillsynsbegäran.docx", "A 29573-2019")</f>
        <v/>
      </c>
      <c r="Y14">
        <f>HYPERLINK("https://klasma.github.io/Logging_1460/tillsynsmail/A 29573-2019 tillsynsbegäran mail.docx", "A 29573-2019")</f>
        <v/>
      </c>
    </row>
    <row r="15" ht="15" customHeight="1">
      <c r="A15" t="inlineStr">
        <is>
          <t>A 23847-2020</t>
        </is>
      </c>
      <c r="B15" s="1" t="n">
        <v>43970</v>
      </c>
      <c r="C15" s="1" t="n">
        <v>45362</v>
      </c>
      <c r="D15" t="inlineStr">
        <is>
          <t>VÄSTRA GÖTALANDS LÄN</t>
        </is>
      </c>
      <c r="E15" t="inlineStr">
        <is>
          <t>BENGTSFORS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Raggtaggsvamp
Tallticka</t>
        </is>
      </c>
      <c r="S15">
        <f>HYPERLINK("https://klasma.github.io/Logging_1460/artfynd/A 23847-2020 artfynd.xlsx", "A 23847-2020")</f>
        <v/>
      </c>
      <c r="T15">
        <f>HYPERLINK("https://klasma.github.io/Logging_1460/kartor/A 23847-2020 karta.png", "A 23847-2020")</f>
        <v/>
      </c>
      <c r="V15">
        <f>HYPERLINK("https://klasma.github.io/Logging_1460/klagomål/A 23847-2020 FSC-klagomål.docx", "A 23847-2020")</f>
        <v/>
      </c>
      <c r="W15">
        <f>HYPERLINK("https://klasma.github.io/Logging_1460/klagomålsmail/A 23847-2020 FSC-klagomål mail.docx", "A 23847-2020")</f>
        <v/>
      </c>
      <c r="X15">
        <f>HYPERLINK("https://klasma.github.io/Logging_1460/tillsyn/A 23847-2020 tillsynsbegäran.docx", "A 23847-2020")</f>
        <v/>
      </c>
      <c r="Y15">
        <f>HYPERLINK("https://klasma.github.io/Logging_1460/tillsynsmail/A 23847-2020 tillsynsbegäran mail.docx", "A 23847-2020")</f>
        <v/>
      </c>
    </row>
    <row r="16" ht="15" customHeight="1">
      <c r="A16" t="inlineStr">
        <is>
          <t>A 68546-2020</t>
        </is>
      </c>
      <c r="B16" s="1" t="n">
        <v>44186</v>
      </c>
      <c r="C16" s="1" t="n">
        <v>45362</v>
      </c>
      <c r="D16" t="inlineStr">
        <is>
          <t>VÄSTRA GÖTALANDS LÄN</t>
        </is>
      </c>
      <c r="E16" t="inlineStr">
        <is>
          <t>BENGTSFORS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Skogsklocka
Grönvit nattviol</t>
        </is>
      </c>
      <c r="S16">
        <f>HYPERLINK("https://klasma.github.io/Logging_1460/artfynd/A 68546-2020 artfynd.xlsx", "A 68546-2020")</f>
        <v/>
      </c>
      <c r="T16">
        <f>HYPERLINK("https://klasma.github.io/Logging_1460/kartor/A 68546-2020 karta.png", "A 68546-2020")</f>
        <v/>
      </c>
      <c r="V16">
        <f>HYPERLINK("https://klasma.github.io/Logging_1460/klagomål/A 68546-2020 FSC-klagomål.docx", "A 68546-2020")</f>
        <v/>
      </c>
      <c r="W16">
        <f>HYPERLINK("https://klasma.github.io/Logging_1460/klagomålsmail/A 68546-2020 FSC-klagomål mail.docx", "A 68546-2020")</f>
        <v/>
      </c>
      <c r="X16">
        <f>HYPERLINK("https://klasma.github.io/Logging_1460/tillsyn/A 68546-2020 tillsynsbegäran.docx", "A 68546-2020")</f>
        <v/>
      </c>
      <c r="Y16">
        <f>HYPERLINK("https://klasma.github.io/Logging_1460/tillsynsmail/A 68546-2020 tillsynsbegäran mail.docx", "A 68546-2020")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45362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45362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45362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45362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45362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45362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45362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45362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45362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45362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45362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45362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45362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45362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45362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45362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45362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45362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45362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45362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45362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45362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45362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45362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45362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45362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45362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45362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45362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45362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45362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45362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45362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45362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45362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45362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45362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45362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45362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45362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45362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45362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45362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45362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45362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45362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45362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45362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45362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45362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45362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45362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45362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45362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45362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45362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45362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45362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45362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45362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45362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45362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45362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45362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45362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45362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45362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45362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45362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45362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45362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45362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45362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45362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45362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45362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45362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45362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45362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45362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45362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45362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45362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45362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45362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45362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45362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45362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45362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45362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45362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45362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45362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45362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45362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45362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45362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45362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45362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45362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45362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45362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45362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45362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45362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45362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45362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45362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45362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45362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45362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45362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45362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45362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45362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45362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45362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45362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45362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45362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45362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45362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45362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45362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45362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45362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45362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45362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45362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45362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45362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45362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45362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45362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45362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45362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45362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45362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45362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45362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45362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45362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45362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45362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45362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45362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45362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45362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45362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45362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45362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45362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45362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45362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45362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45362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45362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45362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45362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45362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45362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45362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45362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45362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45362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45362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45362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45362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45362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45362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45362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45362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45362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45362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45362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45362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45362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45362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45362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45362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45362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45362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45362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45362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45362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45362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45362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45362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45362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45362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45362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45362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45362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45362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45362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45362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45362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45362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45362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45362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45362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45362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45362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45362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45362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45362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45362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45362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45362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45362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45362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45362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45362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45362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45362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45362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45362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45362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45362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45362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45362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45362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45362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45362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45362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45362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45362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45362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45362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45362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45362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45362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45362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45362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45362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45362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45362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45362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45362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45362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45362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45362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45362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45362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45362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45362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45362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45362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45362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45362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45362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45362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45362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45362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45362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45362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45362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45362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45362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45362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45362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45362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45362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45362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45362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45362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45362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45362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45362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45362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45362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45362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45362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45362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45362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45362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45362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45362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45362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45362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45362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45362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45362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45362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45362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45362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45362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45362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45362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45362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45362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45362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45362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45362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45362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45362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45362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45362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45362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45362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45362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45362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45362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45362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45362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45362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45362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45362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45362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45362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45362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45362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45362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45362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45362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45362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45362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45362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45362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45362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45362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45362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45362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45362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45362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45362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45362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45362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45362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45362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45362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45362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45362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45362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45362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45362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45362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45362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45362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45362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45362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45362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45362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45362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45362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45362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45362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45362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45362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45362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45362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45362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45362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45362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45362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45362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45362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45362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45362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45362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45362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45362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45362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45362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45362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45362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45362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45362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45362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45362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45362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45362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45362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45362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45362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45362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45362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45362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45362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45362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45362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45362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45362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45362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45362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45362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45362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45362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45362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45362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45362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45362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45362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45362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45362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45362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45362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45362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45362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45362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45362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45362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45362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45362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45362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45362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45362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45362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45362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45362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45362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45362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45362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45362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45362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45362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45362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45362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45362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45362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45362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45362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45362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45362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45362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45362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45362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45362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45362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45362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45362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45362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45362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45362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45362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45362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45362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45362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45362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45362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45362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45362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45362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45362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45362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45362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45362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45362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45362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45362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45362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45362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45362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45362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45362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45362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45362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45362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45362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45362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45362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45362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45362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45362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45362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45362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45362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45362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45362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45362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45362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45362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45362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45362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45362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45362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45362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45362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45362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45362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45362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45362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45362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45362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45362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45362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45362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45362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45362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45362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45362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45362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45362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45362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45362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45362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45362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45362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45362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45362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45362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45362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45362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45362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45362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45362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45362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45362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45362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45362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45362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45362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45362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45362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45362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45362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45362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45362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45362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45362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45362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45362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45362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45362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45362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45362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45362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45362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45362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45362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45362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45362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45362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45362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45362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45362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45362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45362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45362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45362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45362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45362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45362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45362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45362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45362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45362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45362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45362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45362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45362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45362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45362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45362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45362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45362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45362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45362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45362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45362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45362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45362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45362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45362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45362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45362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45362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45362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45362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45362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45362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45362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45362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45362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45362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45362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45362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45362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45362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45362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45362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45362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45362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45362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45362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45362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45362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45362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45362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45362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45362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45362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45362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45362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45362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45362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45362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45362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45362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45362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45362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45362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45362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45362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45362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45362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45362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45362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45362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45362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45362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45362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45362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45362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45362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45362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45362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45362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45362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45362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45362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45362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45362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45362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45362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45362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45362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45362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45362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45362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45362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45362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45362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45362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45362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45362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45362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45362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45362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45362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45362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45362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45362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45362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45362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45362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45362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45362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45362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45362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45362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45362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45362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45362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45362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45362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45362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45362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45362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45362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45362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45362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45362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45362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45362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45362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45362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45362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45362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45362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45362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45362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45362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45362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45362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45362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45362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45362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45362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45362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45362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45362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45362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45362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45362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45362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45362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45362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45362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45362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45362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45362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45362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45362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45362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45362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45362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45362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45362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45362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45362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45362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45362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45362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45362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45362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45362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45362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45362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45362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45362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45362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45362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45362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45362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45362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45362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45362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45362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45362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45362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45362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45362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45362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45362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45362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45362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45362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45362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45362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45362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45362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45362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45362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45362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45362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45362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45362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45362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45362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45362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45362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45362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45362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45362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45362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45362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45362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45362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45362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45362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45362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45362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45362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45362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45362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45362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45362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45362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45362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45362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45362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45362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45362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45362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45362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45362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45362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45362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45362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45362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45362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45362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45362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45362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45362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45362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45362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45362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45362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45362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45362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45362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45362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45362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45362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45362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45362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45362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45362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45362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45362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45362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45362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45362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45362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45362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45362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45362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45362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45362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45362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45362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45362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45362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45362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45362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45362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45362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45362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45362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45362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45362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45362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45362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45362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45362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45362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45362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45362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45362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45362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45362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45362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45362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45362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45362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45362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45362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45362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45362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45362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45362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45362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45362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45362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45362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45362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45362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45362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45362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45362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45362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45362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45362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45362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45362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45362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45362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45362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45362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45362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45362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45362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45362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45362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45362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45362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45362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45362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45362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45362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45362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45362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45362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45362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45362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45362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45362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45362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45362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45362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45362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45362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45362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45362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45362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45362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45362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45362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45362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45362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45362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45362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45362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45362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45362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45362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45362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45362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45362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45362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45362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45362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45362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45362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45362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45362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45362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45362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45362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45362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45362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45362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45362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45362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45362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45362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45362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45362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45362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45362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4424-2024</t>
        </is>
      </c>
      <c r="B929" s="1" t="n">
        <v>45327</v>
      </c>
      <c r="C929" s="1" t="n">
        <v>45362</v>
      </c>
      <c r="D929" t="inlineStr">
        <is>
          <t>VÄSTRA GÖTALANDS LÄN</t>
        </is>
      </c>
      <c r="E929" t="inlineStr">
        <is>
          <t>BENGTSFORS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4427-2024</t>
        </is>
      </c>
      <c r="B930" s="1" t="n">
        <v>45327</v>
      </c>
      <c r="C930" s="1" t="n">
        <v>45362</v>
      </c>
      <c r="D930" t="inlineStr">
        <is>
          <t>VÄSTRA GÖTALANDS LÄN</t>
        </is>
      </c>
      <c r="E930" t="inlineStr">
        <is>
          <t>BENGTSFORS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45362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45362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45362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45362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45362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45362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45362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6789-2024</t>
        </is>
      </c>
      <c r="B938" s="1" t="n">
        <v>45342</v>
      </c>
      <c r="C938" s="1" t="n">
        <v>45362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8294-2024</t>
        </is>
      </c>
      <c r="B939" s="1" t="n">
        <v>45352</v>
      </c>
      <c r="C939" s="1" t="n">
        <v>45362</v>
      </c>
      <c r="D939" t="inlineStr">
        <is>
          <t>VÄSTRA GÖTALANDS LÄN</t>
        </is>
      </c>
      <c r="E939" t="inlineStr">
        <is>
          <t>BENGTSFORS</t>
        </is>
      </c>
      <c r="G939" t="n">
        <v>13.6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8459-2024</t>
        </is>
      </c>
      <c r="B940" s="1" t="n">
        <v>45355</v>
      </c>
      <c r="C940" s="1" t="n">
        <v>45362</v>
      </c>
      <c r="D940" t="inlineStr">
        <is>
          <t>VÄSTRA GÖTALANDS LÄN</t>
        </is>
      </c>
      <c r="E940" t="inlineStr">
        <is>
          <t>BENGTSFORS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8542-2024</t>
        </is>
      </c>
      <c r="B941" s="1" t="n">
        <v>45355</v>
      </c>
      <c r="C941" s="1" t="n">
        <v>45362</v>
      </c>
      <c r="D941" t="inlineStr">
        <is>
          <t>VÄSTRA GÖTALANDS LÄN</t>
        </is>
      </c>
      <c r="E941" t="inlineStr">
        <is>
          <t>BENGTSFORS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8988-2024</t>
        </is>
      </c>
      <c r="B942" s="1" t="n">
        <v>45356</v>
      </c>
      <c r="C942" s="1" t="n">
        <v>45362</v>
      </c>
      <c r="D942" t="inlineStr">
        <is>
          <t>VÄSTRA GÖTALANDS LÄN</t>
        </is>
      </c>
      <c r="E942" t="inlineStr">
        <is>
          <t>BENGTSFORS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8986-2024</t>
        </is>
      </c>
      <c r="B943" s="1" t="n">
        <v>45356</v>
      </c>
      <c r="C943" s="1" t="n">
        <v>45362</v>
      </c>
      <c r="D943" t="inlineStr">
        <is>
          <t>VÄSTRA GÖTALANDS LÄN</t>
        </is>
      </c>
      <c r="E943" t="inlineStr">
        <is>
          <t>BENGTSFORS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9154-2024</t>
        </is>
      </c>
      <c r="B944" s="1" t="n">
        <v>45358</v>
      </c>
      <c r="C944" s="1" t="n">
        <v>45362</v>
      </c>
      <c r="D944" t="inlineStr">
        <is>
          <t>VÄSTRA GÖTALANDS LÄN</t>
        </is>
      </c>
      <c r="E944" t="inlineStr">
        <is>
          <t>BENGTSFORS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9214-2024</t>
        </is>
      </c>
      <c r="B945" s="1" t="n">
        <v>45358</v>
      </c>
      <c r="C945" s="1" t="n">
        <v>45362</v>
      </c>
      <c r="D945" t="inlineStr">
        <is>
          <t>VÄSTRA GÖTALANDS LÄN</t>
        </is>
      </c>
      <c r="E945" t="inlineStr">
        <is>
          <t>BENGTSFORS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9167-2024</t>
        </is>
      </c>
      <c r="B946" s="1" t="n">
        <v>45358</v>
      </c>
      <c r="C946" s="1" t="n">
        <v>45362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9356-2024</t>
        </is>
      </c>
      <c r="B947" s="1" t="n">
        <v>45359</v>
      </c>
      <c r="C947" s="1" t="n">
        <v>45362</v>
      </c>
      <c r="D947" t="inlineStr">
        <is>
          <t>VÄSTRA GÖTALANDS LÄN</t>
        </is>
      </c>
      <c r="E947" t="inlineStr">
        <is>
          <t>BENGTSFORS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9516-2024</t>
        </is>
      </c>
      <c r="B948" s="1" t="n">
        <v>45359</v>
      </c>
      <c r="C948" s="1" t="n">
        <v>45362</v>
      </c>
      <c r="D948" t="inlineStr">
        <is>
          <t>VÄSTRA GÖTALANDS LÄN</t>
        </is>
      </c>
      <c r="E948" t="inlineStr">
        <is>
          <t>BENGTSFORS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9438-2024</t>
        </is>
      </c>
      <c r="B949" s="1" t="n">
        <v>45359</v>
      </c>
      <c r="C949" s="1" t="n">
        <v>45362</v>
      </c>
      <c r="D949" t="inlineStr">
        <is>
          <t>VÄSTRA GÖTALANDS LÄN</t>
        </is>
      </c>
      <c r="E949" t="inlineStr">
        <is>
          <t>BENGTSFORS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2024-03-11T13:52:44Z</dcterms:created>
  <dcterms:modified xmlns:dcterms="http://purl.org/dc/terms/" xmlns:xsi="http://www.w3.org/2001/XMLSchema-instance" xsi:type="dcterms:W3CDTF">2024-03-11T13:52:45Z</dcterms:modified>
</cp:coreProperties>
</file>