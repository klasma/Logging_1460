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45505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45505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45505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45505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45505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45505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45505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45505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45505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45505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45505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45505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45505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45505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45505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45505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45505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45505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45505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45505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45505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45505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45505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45505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45505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45505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45505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45505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19722-2020</t>
        </is>
      </c>
      <c r="B30" s="1" t="n">
        <v>43941</v>
      </c>
      <c r="C30" s="1" t="n">
        <v>45505</v>
      </c>
      <c r="D30" t="inlineStr">
        <is>
          <t>VÄSTRA GÖTALANDS LÄN</t>
        </is>
      </c>
      <c r="E30" t="inlineStr">
        <is>
          <t>BENGTSFORS</t>
        </is>
      </c>
      <c r="G30" t="n">
        <v>7.9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19722-2020 artfynd.xlsx", "A 19722-2020")</f>
        <v/>
      </c>
      <c r="T30">
        <f>HYPERLINK("https://klasma.github.io/Logging_1460/kartor/A 19722-2020 karta.png", "A 19722-2020")</f>
        <v/>
      </c>
      <c r="V30">
        <f>HYPERLINK("https://klasma.github.io/Logging_1460/klagomål/A 19722-2020 FSC-klagomål.docx", "A 19722-2020")</f>
        <v/>
      </c>
      <c r="W30">
        <f>HYPERLINK("https://klasma.github.io/Logging_1460/klagomålsmail/A 19722-2020 FSC-klagomål mail.docx", "A 19722-2020")</f>
        <v/>
      </c>
      <c r="X30">
        <f>HYPERLINK("https://klasma.github.io/Logging_1460/tillsyn/A 19722-2020 tillsynsbegäran.docx", "A 19722-2020")</f>
        <v/>
      </c>
      <c r="Y30">
        <f>HYPERLINK("https://klasma.github.io/Logging_1460/tillsynsmail/A 19722-2020 tillsynsbegäran mail.docx", "A 19722-2020")</f>
        <v/>
      </c>
      <c r="Z30">
        <f>HYPERLINK("https://klasma.github.io/Logging_1460/fåglar/A 19722-2020 prioriterade fågelarter.docx", "A 19722-2020")</f>
        <v/>
      </c>
    </row>
    <row r="31" ht="15" customHeight="1">
      <c r="A31" t="inlineStr">
        <is>
          <t>A 41328-2020</t>
        </is>
      </c>
      <c r="B31" s="1" t="n">
        <v>44071</v>
      </c>
      <c r="C31" s="1" t="n">
        <v>45505</v>
      </c>
      <c r="D31" t="inlineStr">
        <is>
          <t>VÄSTRA GÖTALANDS LÄN</t>
        </is>
      </c>
      <c r="E31" t="inlineStr">
        <is>
          <t>BENGTSFORS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41328-2020 artfynd.xlsx", "A 41328-2020")</f>
        <v/>
      </c>
      <c r="T31">
        <f>HYPERLINK("https://klasma.github.io/Logging_1460/kartor/A 41328-2020 karta.png", "A 41328-2020")</f>
        <v/>
      </c>
      <c r="V31">
        <f>HYPERLINK("https://klasma.github.io/Logging_1460/klagomål/A 41328-2020 FSC-klagomål.docx", "A 41328-2020")</f>
        <v/>
      </c>
      <c r="W31">
        <f>HYPERLINK("https://klasma.github.io/Logging_1460/klagomålsmail/A 41328-2020 FSC-klagomål mail.docx", "A 41328-2020")</f>
        <v/>
      </c>
      <c r="X31">
        <f>HYPERLINK("https://klasma.github.io/Logging_1460/tillsyn/A 41328-2020 tillsynsbegäran.docx", "A 41328-2020")</f>
        <v/>
      </c>
      <c r="Y31">
        <f>HYPERLINK("https://klasma.github.io/Logging_1460/tillsynsmail/A 41328-2020 tillsynsbegäran mail.docx", "A 41328-2020")</f>
        <v/>
      </c>
      <c r="Z31">
        <f>HYPERLINK("https://klasma.github.io/Logging_1460/fåglar/A 41328-2020 prioriterade fågelarter.docx", "A 41328-2020")</f>
        <v/>
      </c>
    </row>
    <row r="32" ht="15" customHeight="1">
      <c r="A32" t="inlineStr">
        <is>
          <t>A 9043-2021</t>
        </is>
      </c>
      <c r="B32" s="1" t="n">
        <v>44249</v>
      </c>
      <c r="C32" s="1" t="n">
        <v>45505</v>
      </c>
      <c r="D32" t="inlineStr">
        <is>
          <t>VÄSTRA GÖTALANDS LÄN</t>
        </is>
      </c>
      <c r="E32" t="inlineStr">
        <is>
          <t>BENGTSFORS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HYPERLINK("https://klasma.github.io/Logging_1460/artfynd/A 9043-2021 artfynd.xlsx", "A 9043-2021")</f>
        <v/>
      </c>
      <c r="T32">
        <f>HYPERLINK("https://klasma.github.io/Logging_1460/kartor/A 9043-2021 karta.png", "A 9043-2021")</f>
        <v/>
      </c>
      <c r="V32">
        <f>HYPERLINK("https://klasma.github.io/Logging_1460/klagomål/A 9043-2021 FSC-klagomål.docx", "A 9043-2021")</f>
        <v/>
      </c>
      <c r="W32">
        <f>HYPERLINK("https://klasma.github.io/Logging_1460/klagomålsmail/A 9043-2021 FSC-klagomål mail.docx", "A 9043-2021")</f>
        <v/>
      </c>
      <c r="X32">
        <f>HYPERLINK("https://klasma.github.io/Logging_1460/tillsyn/A 9043-2021 tillsynsbegäran.docx", "A 9043-2021")</f>
        <v/>
      </c>
      <c r="Y32">
        <f>HYPERLINK("https://klasma.github.io/Logging_1460/tillsynsmail/A 9043-2021 tillsynsbegäran mail.docx", "A 9043-2021")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45505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45505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47082-2021</t>
        </is>
      </c>
      <c r="B35" s="1" t="n">
        <v>44446</v>
      </c>
      <c r="C35" s="1" t="n">
        <v>45505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47082-2021 artfynd.xlsx", "A 47082-2021")</f>
        <v/>
      </c>
      <c r="T35">
        <f>HYPERLINK("https://klasma.github.io/Logging_1460/kartor/A 47082-2021 karta.png", "A 47082-2021")</f>
        <v/>
      </c>
      <c r="V35">
        <f>HYPERLINK("https://klasma.github.io/Logging_1460/klagomål/A 47082-2021 FSC-klagomål.docx", "A 47082-2021")</f>
        <v/>
      </c>
      <c r="W35">
        <f>HYPERLINK("https://klasma.github.io/Logging_1460/klagomålsmail/A 47082-2021 FSC-klagomål mail.docx", "A 47082-2021")</f>
        <v/>
      </c>
      <c r="X35">
        <f>HYPERLINK("https://klasma.github.io/Logging_1460/tillsyn/A 47082-2021 tillsynsbegäran.docx", "A 47082-2021")</f>
        <v/>
      </c>
      <c r="Y35">
        <f>HYPERLINK("https://klasma.github.io/Logging_1460/tillsynsmail/A 47082-2021 tillsynsbegäran mail.docx", "A 47082-2021")</f>
        <v/>
      </c>
    </row>
    <row r="36" ht="15" customHeight="1">
      <c r="A36" t="inlineStr">
        <is>
          <t>A 47084-2021</t>
        </is>
      </c>
      <c r="B36" s="1" t="n">
        <v>44446</v>
      </c>
      <c r="C36" s="1" t="n">
        <v>45505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63729-2021</t>
        </is>
      </c>
      <c r="B37" s="1" t="n">
        <v>44508</v>
      </c>
      <c r="C37" s="1" t="n">
        <v>45505</v>
      </c>
      <c r="D37" t="inlineStr">
        <is>
          <t>VÄSTRA GÖTALANDS LÄN</t>
        </is>
      </c>
      <c r="E37" t="inlineStr">
        <is>
          <t>BENGTSFORS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63729-2021 artfynd.xlsx", "A 63729-2021")</f>
        <v/>
      </c>
      <c r="T37">
        <f>HYPERLINK("https://klasma.github.io/Logging_1460/kartor/A 63729-2021 karta.png", "A 63729-2021")</f>
        <v/>
      </c>
      <c r="V37">
        <f>HYPERLINK("https://klasma.github.io/Logging_1460/klagomål/A 63729-2021 FSC-klagomål.docx", "A 63729-2021")</f>
        <v/>
      </c>
      <c r="W37">
        <f>HYPERLINK("https://klasma.github.io/Logging_1460/klagomålsmail/A 63729-2021 FSC-klagomål mail.docx", "A 63729-2021")</f>
        <v/>
      </c>
      <c r="X37">
        <f>HYPERLINK("https://klasma.github.io/Logging_1460/tillsyn/A 63729-2021 tillsynsbegäran.docx", "A 63729-2021")</f>
        <v/>
      </c>
      <c r="Y37">
        <f>HYPERLINK("https://klasma.github.io/Logging_1460/tillsynsmail/A 63729-2021 tillsynsbegäran mail.docx", "A 63729-2021")</f>
        <v/>
      </c>
    </row>
    <row r="38" ht="15" customHeight="1">
      <c r="A38" t="inlineStr">
        <is>
          <t>A 26867-2022</t>
        </is>
      </c>
      <c r="B38" s="1" t="n">
        <v>44740</v>
      </c>
      <c r="C38" s="1" t="n">
        <v>45505</v>
      </c>
      <c r="D38" t="inlineStr">
        <is>
          <t>VÄSTRA GÖTALANDS LÄN</t>
        </is>
      </c>
      <c r="E38" t="inlineStr">
        <is>
          <t>BENGTSFORS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HYPERLINK("https://klasma.github.io/Logging_1460/artfynd/A 26867-2022 artfynd.xlsx", "A 26867-2022")</f>
        <v/>
      </c>
      <c r="T38">
        <f>HYPERLINK("https://klasma.github.io/Logging_1460/kartor/A 26867-2022 karta.png", "A 26867-2022")</f>
        <v/>
      </c>
      <c r="V38">
        <f>HYPERLINK("https://klasma.github.io/Logging_1460/klagomål/A 26867-2022 FSC-klagomål.docx", "A 26867-2022")</f>
        <v/>
      </c>
      <c r="W38">
        <f>HYPERLINK("https://klasma.github.io/Logging_1460/klagomålsmail/A 26867-2022 FSC-klagomål mail.docx", "A 26867-2022")</f>
        <v/>
      </c>
      <c r="X38">
        <f>HYPERLINK("https://klasma.github.io/Logging_1460/tillsyn/A 26867-2022 tillsynsbegäran.docx", "A 26867-2022")</f>
        <v/>
      </c>
      <c r="Y38">
        <f>HYPERLINK("https://klasma.github.io/Logging_1460/tillsynsmail/A 26867-2022 tillsynsbegäran mail.docx", "A 26867-2022")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45505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29204-2022</t>
        </is>
      </c>
      <c r="B40" s="1" t="n">
        <v>44750</v>
      </c>
      <c r="C40" s="1" t="n">
        <v>45505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54032-2022</t>
        </is>
      </c>
      <c r="B41" s="1" t="n">
        <v>44881</v>
      </c>
      <c r="C41" s="1" t="n">
        <v>45505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HYPERLINK("https://klasma.github.io/Logging_1460/artfynd/A 54032-2022 artfynd.xlsx", "A 54032-2022")</f>
        <v/>
      </c>
      <c r="T41">
        <f>HYPERLINK("https://klasma.github.io/Logging_1460/kartor/A 54032-2022 karta.png", "A 54032-2022")</f>
        <v/>
      </c>
      <c r="V41">
        <f>HYPERLINK("https://klasma.github.io/Logging_1460/klagomål/A 54032-2022 FSC-klagomål.docx", "A 54032-2022")</f>
        <v/>
      </c>
      <c r="W41">
        <f>HYPERLINK("https://klasma.github.io/Logging_1460/klagomålsmail/A 54032-2022 FSC-klagomål mail.docx", "A 54032-2022")</f>
        <v/>
      </c>
      <c r="X41">
        <f>HYPERLINK("https://klasma.github.io/Logging_1460/tillsyn/A 54032-2022 tillsynsbegäran.docx", "A 54032-2022")</f>
        <v/>
      </c>
      <c r="Y41">
        <f>HYPERLINK("https://klasma.github.io/Logging_1460/tillsynsmail/A 54032-2022 tillsynsbegäran mail.docx", "A 54032-2022")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45505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45505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46409-2023</t>
        </is>
      </c>
      <c r="B44" s="1" t="n">
        <v>45197</v>
      </c>
      <c r="C44" s="1" t="n">
        <v>45505</v>
      </c>
      <c r="D44" t="inlineStr">
        <is>
          <t>VÄSTRA GÖTALANDS LÄN</t>
        </is>
      </c>
      <c r="E44" t="inlineStr">
        <is>
          <t>BENGTSFORS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HYPERLINK("https://klasma.github.io/Logging_1460/artfynd/A 46409-2023 artfynd.xlsx", "A 46409-2023")</f>
        <v/>
      </c>
      <c r="T44">
        <f>HYPERLINK("https://klasma.github.io/Logging_1460/kartor/A 46409-2023 karta.png", "A 46409-2023")</f>
        <v/>
      </c>
      <c r="V44">
        <f>HYPERLINK("https://klasma.github.io/Logging_1460/klagomål/A 46409-2023 FSC-klagomål.docx", "A 46409-2023")</f>
        <v/>
      </c>
      <c r="W44">
        <f>HYPERLINK("https://klasma.github.io/Logging_1460/klagomålsmail/A 46409-2023 FSC-klagomål mail.docx", "A 46409-2023")</f>
        <v/>
      </c>
      <c r="X44">
        <f>HYPERLINK("https://klasma.github.io/Logging_1460/tillsyn/A 46409-2023 tillsynsbegäran.docx", "A 46409-2023")</f>
        <v/>
      </c>
      <c r="Y44">
        <f>HYPERLINK("https://klasma.github.io/Logging_1460/tillsynsmail/A 46409-2023 tillsynsbegäran mail.docx", "A 46409-2023")</f>
        <v/>
      </c>
    </row>
    <row r="45" ht="15" customHeight="1">
      <c r="A45" t="inlineStr">
        <is>
          <t>A 49153-2023</t>
        </is>
      </c>
      <c r="B45" s="1" t="n">
        <v>45210</v>
      </c>
      <c r="C45" s="1" t="n">
        <v>45505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HYPERLINK("https://klasma.github.io/Logging_1460/artfynd/A 49153-2023 artfynd.xlsx", "A 49153-2023")</f>
        <v/>
      </c>
      <c r="T45">
        <f>HYPERLINK("https://klasma.github.io/Logging_1460/kartor/A 49153-2023 karta.png", "A 49153-2023")</f>
        <v/>
      </c>
      <c r="V45">
        <f>HYPERLINK("https://klasma.github.io/Logging_1460/klagomål/A 49153-2023 FSC-klagomål.docx", "A 49153-2023")</f>
        <v/>
      </c>
      <c r="W45">
        <f>HYPERLINK("https://klasma.github.io/Logging_1460/klagomålsmail/A 49153-2023 FSC-klagomål mail.docx", "A 49153-2023")</f>
        <v/>
      </c>
      <c r="X45">
        <f>HYPERLINK("https://klasma.github.io/Logging_1460/tillsyn/A 49153-2023 tillsynsbegäran.docx", "A 49153-2023")</f>
        <v/>
      </c>
      <c r="Y45">
        <f>HYPERLINK("https://klasma.github.io/Logging_1460/tillsynsmail/A 49153-2023 tillsynsbegäran mail.docx", "A 49153-2023")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45505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3412-2024</t>
        </is>
      </c>
      <c r="B47" s="1" t="n">
        <v>45319</v>
      </c>
      <c r="C47" s="1" t="n">
        <v>45505</v>
      </c>
      <c r="D47" t="inlineStr">
        <is>
          <t>VÄSTRA GÖTALANDS LÄN</t>
        </is>
      </c>
      <c r="E47" t="inlineStr">
        <is>
          <t>BENGTSFORS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HYPERLINK("https://klasma.github.io/Logging_1460/artfynd/A 3412-2024 artfynd.xlsx", "A 3412-2024")</f>
        <v/>
      </c>
      <c r="T47">
        <f>HYPERLINK("https://klasma.github.io/Logging_1460/kartor/A 3412-2024 karta.png", "A 3412-2024")</f>
        <v/>
      </c>
      <c r="V47">
        <f>HYPERLINK("https://klasma.github.io/Logging_1460/klagomål/A 3412-2024 FSC-klagomål.docx", "A 3412-2024")</f>
        <v/>
      </c>
      <c r="W47">
        <f>HYPERLINK("https://klasma.github.io/Logging_1460/klagomålsmail/A 3412-2024 FSC-klagomål mail.docx", "A 3412-2024")</f>
        <v/>
      </c>
      <c r="X47">
        <f>HYPERLINK("https://klasma.github.io/Logging_1460/tillsyn/A 3412-2024 tillsynsbegäran.docx", "A 3412-2024")</f>
        <v/>
      </c>
      <c r="Y47">
        <f>HYPERLINK("https://klasma.github.io/Logging_1460/tillsynsmail/A 3412-2024 tillsynsbegäran mail.docx", "A 3412-2024")</f>
        <v/>
      </c>
      <c r="Z47">
        <f>HYPERLINK("https://klasma.github.io/Logging_1460/fåglar/A 3412-2024 prioriterade fågelarter.docx", "A 3412-2024")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45505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5971-2024</t>
        </is>
      </c>
      <c r="B49" s="1" t="n">
        <v>45336</v>
      </c>
      <c r="C49" s="1" t="n">
        <v>45505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24247-2024</t>
        </is>
      </c>
      <c r="B50" s="1" t="n">
        <v>45457</v>
      </c>
      <c r="C50" s="1" t="n">
        <v>45505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HYPERLINK("https://klasma.github.io/Logging_1460/artfynd/A 24247-2024 artfynd.xlsx", "A 24247-2024")</f>
        <v/>
      </c>
      <c r="T50">
        <f>HYPERLINK("https://klasma.github.io/Logging_1460/kartor/A 24247-2024 karta.png", "A 24247-2024")</f>
        <v/>
      </c>
      <c r="V50">
        <f>HYPERLINK("https://klasma.github.io/Logging_1460/klagomål/A 24247-2024 FSC-klagomål.docx", "A 24247-2024")</f>
        <v/>
      </c>
      <c r="W50">
        <f>HYPERLINK("https://klasma.github.io/Logging_1460/klagomålsmail/A 24247-2024 FSC-klagomål mail.docx", "A 24247-2024")</f>
        <v/>
      </c>
      <c r="X50">
        <f>HYPERLINK("https://klasma.github.io/Logging_1460/tillsyn/A 24247-2024 tillsynsbegäran.docx", "A 24247-2024")</f>
        <v/>
      </c>
      <c r="Y50">
        <f>HYPERLINK("https://klasma.github.io/Logging_1460/tillsynsmail/A 24247-2024 tillsynsbegäran mail.docx", "A 24247-2024")</f>
        <v/>
      </c>
    </row>
    <row r="51" ht="15" customHeight="1">
      <c r="A51" t="inlineStr">
        <is>
          <t>A 17772-2019</t>
        </is>
      </c>
      <c r="B51" s="1" t="n">
        <v>43556</v>
      </c>
      <c r="C51" s="1" t="n">
        <v>45505</v>
      </c>
      <c r="D51" t="inlineStr">
        <is>
          <t>VÄSTRA GÖTALANDS LÄN</t>
        </is>
      </c>
      <c r="E51" t="inlineStr">
        <is>
          <t>BENGTSFORS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18232-2019</t>
        </is>
      </c>
      <c r="B52" s="1" t="n">
        <v>43558</v>
      </c>
      <c r="C52" s="1" t="n">
        <v>45505</v>
      </c>
      <c r="D52" t="inlineStr">
        <is>
          <t>VÄSTRA GÖTALANDS LÄN</t>
        </is>
      </c>
      <c r="E52" t="inlineStr">
        <is>
          <t>BENGTSFORS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18678-2019</t>
        </is>
      </c>
      <c r="B53" s="1" t="n">
        <v>43560</v>
      </c>
      <c r="C53" s="1" t="n">
        <v>45505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19430-2019</t>
        </is>
      </c>
      <c r="B54" s="1" t="n">
        <v>43565</v>
      </c>
      <c r="C54" s="1" t="n">
        <v>45505</v>
      </c>
      <c r="D54" t="inlineStr">
        <is>
          <t>VÄSTRA GÖTALANDS LÄN</t>
        </is>
      </c>
      <c r="E54" t="inlineStr">
        <is>
          <t>BENGTSFORS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19394-2019</t>
        </is>
      </c>
      <c r="B55" s="1" t="n">
        <v>43565</v>
      </c>
      <c r="C55" s="1" t="n">
        <v>45505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19759-2019</t>
        </is>
      </c>
      <c r="B56" s="1" t="n">
        <v>43567</v>
      </c>
      <c r="C56" s="1" t="n">
        <v>45505</v>
      </c>
      <c r="D56" t="inlineStr">
        <is>
          <t>VÄSTRA GÖTALANDS LÄN</t>
        </is>
      </c>
      <c r="E56" t="inlineStr">
        <is>
          <t>BENGTSFORS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19865-2019</t>
        </is>
      </c>
      <c r="B57" s="1" t="n">
        <v>43567</v>
      </c>
      <c r="C57" s="1" t="n">
        <v>45505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20981-2019</t>
        </is>
      </c>
      <c r="B58" s="1" t="n">
        <v>43578</v>
      </c>
      <c r="C58" s="1" t="n">
        <v>45505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21306-2019</t>
        </is>
      </c>
      <c r="B59" s="1" t="n">
        <v>43579</v>
      </c>
      <c r="C59" s="1" t="n">
        <v>45505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21126-2019</t>
        </is>
      </c>
      <c r="B60" s="1" t="n">
        <v>43579</v>
      </c>
      <c r="C60" s="1" t="n">
        <v>45505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22550-2019</t>
        </is>
      </c>
      <c r="B61" s="1" t="n">
        <v>43587</v>
      </c>
      <c r="C61" s="1" t="n">
        <v>45505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23197-2019</t>
        </is>
      </c>
      <c r="B62" s="1" t="n">
        <v>43592</v>
      </c>
      <c r="C62" s="1" t="n">
        <v>45505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23452-2019</t>
        </is>
      </c>
      <c r="B63" s="1" t="n">
        <v>43593</v>
      </c>
      <c r="C63" s="1" t="n">
        <v>45505</v>
      </c>
      <c r="D63" t="inlineStr">
        <is>
          <t>VÄSTRA GÖTALANDS LÄN</t>
        </is>
      </c>
      <c r="E63" t="inlineStr">
        <is>
          <t>BENGTSFORS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24304-2019</t>
        </is>
      </c>
      <c r="B64" s="1" t="n">
        <v>43599</v>
      </c>
      <c r="C64" s="1" t="n">
        <v>45505</v>
      </c>
      <c r="D64" t="inlineStr">
        <is>
          <t>VÄSTRA GÖTALANDS LÄN</t>
        </is>
      </c>
      <c r="E64" t="inlineStr">
        <is>
          <t>BENGTSFORS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25595-2019</t>
        </is>
      </c>
      <c r="B65" s="1" t="n">
        <v>43601</v>
      </c>
      <c r="C65" s="1" t="n">
        <v>45505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26804-2019</t>
        </is>
      </c>
      <c r="B66" s="1" t="n">
        <v>43613</v>
      </c>
      <c r="C66" s="1" t="n">
        <v>45505</v>
      </c>
      <c r="D66" t="inlineStr">
        <is>
          <t>VÄSTRA GÖTALANDS LÄN</t>
        </is>
      </c>
      <c r="E66" t="inlineStr">
        <is>
          <t>BENGTSFORS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27019-2019</t>
        </is>
      </c>
      <c r="B67" s="1" t="n">
        <v>43613</v>
      </c>
      <c r="C67" s="1" t="n">
        <v>45505</v>
      </c>
      <c r="D67" t="inlineStr">
        <is>
          <t>VÄSTRA GÖTALANDS LÄN</t>
        </is>
      </c>
      <c r="E67" t="inlineStr">
        <is>
          <t>BENGTSFORS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27153-2019</t>
        </is>
      </c>
      <c r="B68" s="1" t="n">
        <v>43614</v>
      </c>
      <c r="C68" s="1" t="n">
        <v>45505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27465-2019</t>
        </is>
      </c>
      <c r="B69" s="1" t="n">
        <v>43618</v>
      </c>
      <c r="C69" s="1" t="n">
        <v>45505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27463-2019</t>
        </is>
      </c>
      <c r="B70" s="1" t="n">
        <v>43618</v>
      </c>
      <c r="C70" s="1" t="n">
        <v>45505</v>
      </c>
      <c r="D70" t="inlineStr">
        <is>
          <t>VÄSTRA GÖTALANDS LÄN</t>
        </is>
      </c>
      <c r="E70" t="inlineStr">
        <is>
          <t>BENGTSFORS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27484-2019</t>
        </is>
      </c>
      <c r="B71" s="1" t="n">
        <v>43619</v>
      </c>
      <c r="C71" s="1" t="n">
        <v>45505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28654-2019</t>
        </is>
      </c>
      <c r="B72" s="1" t="n">
        <v>43627</v>
      </c>
      <c r="C72" s="1" t="n">
        <v>45505</v>
      </c>
      <c r="D72" t="inlineStr">
        <is>
          <t>VÄSTRA GÖTALANDS LÄN</t>
        </is>
      </c>
      <c r="E72" t="inlineStr">
        <is>
          <t>BENGTSFORS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30098-2019</t>
        </is>
      </c>
      <c r="B73" s="1" t="n">
        <v>43633</v>
      </c>
      <c r="C73" s="1" t="n">
        <v>45505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29905-2019</t>
        </is>
      </c>
      <c r="B74" s="1" t="n">
        <v>43633</v>
      </c>
      <c r="C74" s="1" t="n">
        <v>45505</v>
      </c>
      <c r="D74" t="inlineStr">
        <is>
          <t>VÄSTRA GÖTALANDS LÄN</t>
        </is>
      </c>
      <c r="E74" t="inlineStr">
        <is>
          <t>BENGTSFORS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30538-2019</t>
        </is>
      </c>
      <c r="B75" s="1" t="n">
        <v>43635</v>
      </c>
      <c r="C75" s="1" t="n">
        <v>45505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30531-2019</t>
        </is>
      </c>
      <c r="B76" s="1" t="n">
        <v>43635</v>
      </c>
      <c r="C76" s="1" t="n">
        <v>45505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32534-2019</t>
        </is>
      </c>
      <c r="B77" s="1" t="n">
        <v>43646</v>
      </c>
      <c r="C77" s="1" t="n">
        <v>45505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32545-2019</t>
        </is>
      </c>
      <c r="B78" s="1" t="n">
        <v>43647</v>
      </c>
      <c r="C78" s="1" t="n">
        <v>45505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34716-2019</t>
        </is>
      </c>
      <c r="B79" s="1" t="n">
        <v>43648</v>
      </c>
      <c r="C79" s="1" t="n">
        <v>45505</v>
      </c>
      <c r="D79" t="inlineStr">
        <is>
          <t>VÄSTRA GÖTALANDS LÄN</t>
        </is>
      </c>
      <c r="E79" t="inlineStr">
        <is>
          <t>BENGTSFORS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35676-2019</t>
        </is>
      </c>
      <c r="B80" s="1" t="n">
        <v>43655</v>
      </c>
      <c r="C80" s="1" t="n">
        <v>45505</v>
      </c>
      <c r="D80" t="inlineStr">
        <is>
          <t>VÄSTRA GÖTALANDS LÄN</t>
        </is>
      </c>
      <c r="E80" t="inlineStr">
        <is>
          <t>BENGTSFORS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34878-2019</t>
        </is>
      </c>
      <c r="B81" s="1" t="n">
        <v>43658</v>
      </c>
      <c r="C81" s="1" t="n">
        <v>45505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36401-2019</t>
        </is>
      </c>
      <c r="B82" s="1" t="n">
        <v>43670</v>
      </c>
      <c r="C82" s="1" t="n">
        <v>45505</v>
      </c>
      <c r="D82" t="inlineStr">
        <is>
          <t>VÄSTRA GÖTALANDS LÄN</t>
        </is>
      </c>
      <c r="E82" t="inlineStr">
        <is>
          <t>BENGTSFORS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37035-2019</t>
        </is>
      </c>
      <c r="B83" s="1" t="n">
        <v>43676</v>
      </c>
      <c r="C83" s="1" t="n">
        <v>45505</v>
      </c>
      <c r="D83" t="inlineStr">
        <is>
          <t>VÄSTRA GÖTALANDS LÄN</t>
        </is>
      </c>
      <c r="E83" t="inlineStr">
        <is>
          <t>BENGTSFORS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37957-2019</t>
        </is>
      </c>
      <c r="B84" s="1" t="n">
        <v>43683</v>
      </c>
      <c r="C84" s="1" t="n">
        <v>45505</v>
      </c>
      <c r="D84" t="inlineStr">
        <is>
          <t>VÄSTRA GÖTALANDS LÄN</t>
        </is>
      </c>
      <c r="E84" t="inlineStr">
        <is>
          <t>BENGTSFORS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39289-2019</t>
        </is>
      </c>
      <c r="B85" s="1" t="n">
        <v>43690</v>
      </c>
      <c r="C85" s="1" t="n">
        <v>45505</v>
      </c>
      <c r="D85" t="inlineStr">
        <is>
          <t>VÄSTRA GÖTALANDS LÄN</t>
        </is>
      </c>
      <c r="E85" t="inlineStr">
        <is>
          <t>BENGTSFORS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39644-2019</t>
        </is>
      </c>
      <c r="B86" s="1" t="n">
        <v>43691</v>
      </c>
      <c r="C86" s="1" t="n">
        <v>45505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40043-2019</t>
        </is>
      </c>
      <c r="B87" s="1" t="n">
        <v>43693</v>
      </c>
      <c r="C87" s="1" t="n">
        <v>45505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40048-2019</t>
        </is>
      </c>
      <c r="B88" s="1" t="n">
        <v>43693</v>
      </c>
      <c r="C88" s="1" t="n">
        <v>45505</v>
      </c>
      <c r="D88" t="inlineStr">
        <is>
          <t>VÄSTRA GÖTALANDS LÄN</t>
        </is>
      </c>
      <c r="E88" t="inlineStr">
        <is>
          <t>BENGTSFORS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40243-2019</t>
        </is>
      </c>
      <c r="B89" s="1" t="n">
        <v>43694</v>
      </c>
      <c r="C89" s="1" t="n">
        <v>45505</v>
      </c>
      <c r="D89" t="inlineStr">
        <is>
          <t>VÄSTRA GÖTALANDS LÄN</t>
        </is>
      </c>
      <c r="E89" t="inlineStr">
        <is>
          <t>BENGTSFORS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40242-2019</t>
        </is>
      </c>
      <c r="B90" s="1" t="n">
        <v>43694</v>
      </c>
      <c r="C90" s="1" t="n">
        <v>45505</v>
      </c>
      <c r="D90" t="inlineStr">
        <is>
          <t>VÄSTRA GÖTALANDS LÄN</t>
        </is>
      </c>
      <c r="E90" t="inlineStr">
        <is>
          <t>BENGTSFORS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40654-2019</t>
        </is>
      </c>
      <c r="B91" s="1" t="n">
        <v>43696</v>
      </c>
      <c r="C91" s="1" t="n">
        <v>45505</v>
      </c>
      <c r="D91" t="inlineStr">
        <is>
          <t>VÄSTRA GÖTALANDS LÄN</t>
        </is>
      </c>
      <c r="E91" t="inlineStr">
        <is>
          <t>BENGTSFORS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40972-2019</t>
        </is>
      </c>
      <c r="B92" s="1" t="n">
        <v>43697</v>
      </c>
      <c r="C92" s="1" t="n">
        <v>45505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40974-2019</t>
        </is>
      </c>
      <c r="B93" s="1" t="n">
        <v>43697</v>
      </c>
      <c r="C93" s="1" t="n">
        <v>45505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41257-2019</t>
        </is>
      </c>
      <c r="B94" s="1" t="n">
        <v>43698</v>
      </c>
      <c r="C94" s="1" t="n">
        <v>45505</v>
      </c>
      <c r="D94" t="inlineStr">
        <is>
          <t>VÄSTRA GÖTALANDS LÄN</t>
        </is>
      </c>
      <c r="E94" t="inlineStr">
        <is>
          <t>BENGTSFORS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41256-2019</t>
        </is>
      </c>
      <c r="B95" s="1" t="n">
        <v>43698</v>
      </c>
      <c r="C95" s="1" t="n">
        <v>45505</v>
      </c>
      <c r="D95" t="inlineStr">
        <is>
          <t>VÄSTRA GÖTALANDS LÄN</t>
        </is>
      </c>
      <c r="E95" t="inlineStr">
        <is>
          <t>BENGTSFORS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41252-2019</t>
        </is>
      </c>
      <c r="B96" s="1" t="n">
        <v>43698</v>
      </c>
      <c r="C96" s="1" t="n">
        <v>45505</v>
      </c>
      <c r="D96" t="inlineStr">
        <is>
          <t>VÄSTRA GÖTALANDS LÄN</t>
        </is>
      </c>
      <c r="E96" t="inlineStr">
        <is>
          <t>BENGTSFORS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41255-2019</t>
        </is>
      </c>
      <c r="B97" s="1" t="n">
        <v>43698</v>
      </c>
      <c r="C97" s="1" t="n">
        <v>45505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41770-2019</t>
        </is>
      </c>
      <c r="B98" s="1" t="n">
        <v>43700</v>
      </c>
      <c r="C98" s="1" t="n">
        <v>45505</v>
      </c>
      <c r="D98" t="inlineStr">
        <is>
          <t>VÄSTRA GÖTALANDS LÄN</t>
        </is>
      </c>
      <c r="E98" t="inlineStr">
        <is>
          <t>BENGTSFORS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41607-2019</t>
        </is>
      </c>
      <c r="B99" s="1" t="n">
        <v>43699</v>
      </c>
      <c r="C99" s="1" t="n">
        <v>45505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42924-2019</t>
        </is>
      </c>
      <c r="B100" s="1" t="n">
        <v>43705</v>
      </c>
      <c r="C100" s="1" t="n">
        <v>45505</v>
      </c>
      <c r="D100" t="inlineStr">
        <is>
          <t>VÄSTRA GÖTALANDS LÄN</t>
        </is>
      </c>
      <c r="E100" t="inlineStr">
        <is>
          <t>BENGTSFORS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43633-2019</t>
        </is>
      </c>
      <c r="B101" s="1" t="n">
        <v>43707</v>
      </c>
      <c r="C101" s="1" t="n">
        <v>45505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45003-2019</t>
        </is>
      </c>
      <c r="B102" s="1" t="n">
        <v>43707</v>
      </c>
      <c r="C102" s="1" t="n">
        <v>45505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45008-2019</t>
        </is>
      </c>
      <c r="B103" s="1" t="n">
        <v>43707</v>
      </c>
      <c r="C103" s="1" t="n">
        <v>45505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43991-2019</t>
        </is>
      </c>
      <c r="B104" s="1" t="n">
        <v>43709</v>
      </c>
      <c r="C104" s="1" t="n">
        <v>45505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44223-2019</t>
        </is>
      </c>
      <c r="B105" s="1" t="n">
        <v>43710</v>
      </c>
      <c r="C105" s="1" t="n">
        <v>45505</v>
      </c>
      <c r="D105" t="inlineStr">
        <is>
          <t>VÄSTRA GÖTALANDS LÄN</t>
        </is>
      </c>
      <c r="E105" t="inlineStr">
        <is>
          <t>BENGTSFORS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45614-2019</t>
        </is>
      </c>
      <c r="B106" s="1" t="n">
        <v>43711</v>
      </c>
      <c r="C106" s="1" t="n">
        <v>45505</v>
      </c>
      <c r="D106" t="inlineStr">
        <is>
          <t>VÄSTRA GÖTALANDS LÄN</t>
        </is>
      </c>
      <c r="E106" t="inlineStr">
        <is>
          <t>BENGTSFORS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45958-2019</t>
        </is>
      </c>
      <c r="B107" s="1" t="n">
        <v>43712</v>
      </c>
      <c r="C107" s="1" t="n">
        <v>45505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45875-2019</t>
        </is>
      </c>
      <c r="B108" s="1" t="n">
        <v>43712</v>
      </c>
      <c r="C108" s="1" t="n">
        <v>45505</v>
      </c>
      <c r="D108" t="inlineStr">
        <is>
          <t>VÄSTRA GÖTALANDS LÄN</t>
        </is>
      </c>
      <c r="E108" t="inlineStr">
        <is>
          <t>BENGTSFORS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46049-2019</t>
        </is>
      </c>
      <c r="B109" s="1" t="n">
        <v>43713</v>
      </c>
      <c r="C109" s="1" t="n">
        <v>45505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45842-2019</t>
        </is>
      </c>
      <c r="B110" s="1" t="n">
        <v>43717</v>
      </c>
      <c r="C110" s="1" t="n">
        <v>45505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47728-2019</t>
        </is>
      </c>
      <c r="B111" s="1" t="n">
        <v>43724</v>
      </c>
      <c r="C111" s="1" t="n">
        <v>45505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47845-2019</t>
        </is>
      </c>
      <c r="B112" s="1" t="n">
        <v>43725</v>
      </c>
      <c r="C112" s="1" t="n">
        <v>45505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49068-2019</t>
        </is>
      </c>
      <c r="B113" s="1" t="n">
        <v>43731</v>
      </c>
      <c r="C113" s="1" t="n">
        <v>45505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50365-2019</t>
        </is>
      </c>
      <c r="B114" s="1" t="n">
        <v>43735</v>
      </c>
      <c r="C114" s="1" t="n">
        <v>45505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50741-2019</t>
        </is>
      </c>
      <c r="B115" s="1" t="n">
        <v>43738</v>
      </c>
      <c r="C115" s="1" t="n">
        <v>45505</v>
      </c>
      <c r="D115" t="inlineStr">
        <is>
          <t>VÄSTRA GÖTALANDS LÄN</t>
        </is>
      </c>
      <c r="E115" t="inlineStr">
        <is>
          <t>BENGTSFORS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51148-2019</t>
        </is>
      </c>
      <c r="B116" s="1" t="n">
        <v>43739</v>
      </c>
      <c r="C116" s="1" t="n">
        <v>45505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52112-2019</t>
        </is>
      </c>
      <c r="B117" s="1" t="n">
        <v>43742</v>
      </c>
      <c r="C117" s="1" t="n">
        <v>45505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56944-2019</t>
        </is>
      </c>
      <c r="B118" s="1" t="n">
        <v>43766</v>
      </c>
      <c r="C118" s="1" t="n">
        <v>45505</v>
      </c>
      <c r="D118" t="inlineStr">
        <is>
          <t>VÄSTRA GÖTALANDS LÄN</t>
        </is>
      </c>
      <c r="E118" t="inlineStr">
        <is>
          <t>BENGTSFORS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56997-2019</t>
        </is>
      </c>
      <c r="B119" s="1" t="n">
        <v>43766</v>
      </c>
      <c r="C119" s="1" t="n">
        <v>45505</v>
      </c>
      <c r="D119" t="inlineStr">
        <is>
          <t>VÄSTRA GÖTALANDS LÄN</t>
        </is>
      </c>
      <c r="E119" t="inlineStr">
        <is>
          <t>BENGTSFORS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57094-2019</t>
        </is>
      </c>
      <c r="B120" s="1" t="n">
        <v>43766</v>
      </c>
      <c r="C120" s="1" t="n">
        <v>45505</v>
      </c>
      <c r="D120" t="inlineStr">
        <is>
          <t>VÄSTRA GÖTALANDS LÄN</t>
        </is>
      </c>
      <c r="E120" t="inlineStr">
        <is>
          <t>BENGTSFORS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57436-2019</t>
        </is>
      </c>
      <c r="B121" s="1" t="n">
        <v>43767</v>
      </c>
      <c r="C121" s="1" t="n">
        <v>45505</v>
      </c>
      <c r="D121" t="inlineStr">
        <is>
          <t>VÄSTRA GÖTALANDS LÄN</t>
        </is>
      </c>
      <c r="E121" t="inlineStr">
        <is>
          <t>BENGTSFORS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57907-2019</t>
        </is>
      </c>
      <c r="B122" s="1" t="n">
        <v>43769</v>
      </c>
      <c r="C122" s="1" t="n">
        <v>45505</v>
      </c>
      <c r="D122" t="inlineStr">
        <is>
          <t>VÄSTRA GÖTALANDS LÄN</t>
        </is>
      </c>
      <c r="E122" t="inlineStr">
        <is>
          <t>BENGTSFORS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58142-2019</t>
        </is>
      </c>
      <c r="B123" s="1" t="n">
        <v>43769</v>
      </c>
      <c r="C123" s="1" t="n">
        <v>45505</v>
      </c>
      <c r="D123" t="inlineStr">
        <is>
          <t>VÄSTRA GÖTALANDS LÄN</t>
        </is>
      </c>
      <c r="E123" t="inlineStr">
        <is>
          <t>BENGTSFORS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58179-2019</t>
        </is>
      </c>
      <c r="B124" s="1" t="n">
        <v>43770</v>
      </c>
      <c r="C124" s="1" t="n">
        <v>45505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58972-2019</t>
        </is>
      </c>
      <c r="B125" s="1" t="n">
        <v>43774</v>
      </c>
      <c r="C125" s="1" t="n">
        <v>45505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58964-2019</t>
        </is>
      </c>
      <c r="B126" s="1" t="n">
        <v>43774</v>
      </c>
      <c r="C126" s="1" t="n">
        <v>45505</v>
      </c>
      <c r="D126" t="inlineStr">
        <is>
          <t>VÄSTRA GÖTALANDS LÄN</t>
        </is>
      </c>
      <c r="E126" t="inlineStr">
        <is>
          <t>BENGTSFORS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59215-2019</t>
        </is>
      </c>
      <c r="B127" s="1" t="n">
        <v>43775</v>
      </c>
      <c r="C127" s="1" t="n">
        <v>45505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59548-2019</t>
        </is>
      </c>
      <c r="B128" s="1" t="n">
        <v>43776</v>
      </c>
      <c r="C128" s="1" t="n">
        <v>45505</v>
      </c>
      <c r="D128" t="inlineStr">
        <is>
          <t>VÄSTRA GÖTALANDS LÄN</t>
        </is>
      </c>
      <c r="E128" t="inlineStr">
        <is>
          <t>BENGTSFORS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59952-2019</t>
        </is>
      </c>
      <c r="B129" s="1" t="n">
        <v>43777</v>
      </c>
      <c r="C129" s="1" t="n">
        <v>45505</v>
      </c>
      <c r="D129" t="inlineStr">
        <is>
          <t>VÄSTRA GÖTALANDS LÄN</t>
        </is>
      </c>
      <c r="E129" t="inlineStr">
        <is>
          <t>BENGTSFORS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60666-2019</t>
        </is>
      </c>
      <c r="B130" s="1" t="n">
        <v>43781</v>
      </c>
      <c r="C130" s="1" t="n">
        <v>45505</v>
      </c>
      <c r="D130" t="inlineStr">
        <is>
          <t>VÄSTRA GÖTALANDS LÄN</t>
        </is>
      </c>
      <c r="E130" t="inlineStr">
        <is>
          <t>BENGTSFORS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61233-2019</t>
        </is>
      </c>
      <c r="B131" s="1" t="n">
        <v>43783</v>
      </c>
      <c r="C131" s="1" t="n">
        <v>45505</v>
      </c>
      <c r="D131" t="inlineStr">
        <is>
          <t>VÄSTRA GÖTALANDS LÄN</t>
        </is>
      </c>
      <c r="E131" t="inlineStr">
        <is>
          <t>BENGTSFORS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61359-2019</t>
        </is>
      </c>
      <c r="B132" s="1" t="n">
        <v>43783</v>
      </c>
      <c r="C132" s="1" t="n">
        <v>45505</v>
      </c>
      <c r="D132" t="inlineStr">
        <is>
          <t>VÄSTRA GÖTALANDS LÄN</t>
        </is>
      </c>
      <c r="E132" t="inlineStr">
        <is>
          <t>BENGTSFORS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61741-2019</t>
        </is>
      </c>
      <c r="B133" s="1" t="n">
        <v>43784</v>
      </c>
      <c r="C133" s="1" t="n">
        <v>45505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62144-2019</t>
        </is>
      </c>
      <c r="B134" s="1" t="n">
        <v>43787</v>
      </c>
      <c r="C134" s="1" t="n">
        <v>45505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64665-2019</t>
        </is>
      </c>
      <c r="B135" s="1" t="n">
        <v>43794</v>
      </c>
      <c r="C135" s="1" t="n">
        <v>45505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63960-2019</t>
        </is>
      </c>
      <c r="B136" s="1" t="n">
        <v>43796</v>
      </c>
      <c r="C136" s="1" t="n">
        <v>45505</v>
      </c>
      <c r="D136" t="inlineStr">
        <is>
          <t>VÄSTRA GÖTALANDS LÄN</t>
        </is>
      </c>
      <c r="E136" t="inlineStr">
        <is>
          <t>BENGTSFORS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64230-2019</t>
        </is>
      </c>
      <c r="B137" s="1" t="n">
        <v>43797</v>
      </c>
      <c r="C137" s="1" t="n">
        <v>45505</v>
      </c>
      <c r="D137" t="inlineStr">
        <is>
          <t>VÄSTRA GÖTALANDS LÄN</t>
        </is>
      </c>
      <c r="E137" t="inlineStr">
        <is>
          <t>BENGTSFORS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64279-2019</t>
        </is>
      </c>
      <c r="B138" s="1" t="n">
        <v>43797</v>
      </c>
      <c r="C138" s="1" t="n">
        <v>45505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64228-2019</t>
        </is>
      </c>
      <c r="B139" s="1" t="n">
        <v>43797</v>
      </c>
      <c r="C139" s="1" t="n">
        <v>45505</v>
      </c>
      <c r="D139" t="inlineStr">
        <is>
          <t>VÄSTRA GÖTALANDS LÄN</t>
        </is>
      </c>
      <c r="E139" t="inlineStr">
        <is>
          <t>BENGTSFORS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64220-2019</t>
        </is>
      </c>
      <c r="B140" s="1" t="n">
        <v>43797</v>
      </c>
      <c r="C140" s="1" t="n">
        <v>45505</v>
      </c>
      <c r="D140" t="inlineStr">
        <is>
          <t>VÄSTRA GÖTALANDS LÄN</t>
        </is>
      </c>
      <c r="E140" t="inlineStr">
        <is>
          <t>BENGTSFORS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64274-2019</t>
        </is>
      </c>
      <c r="B141" s="1" t="n">
        <v>43797</v>
      </c>
      <c r="C141" s="1" t="n">
        <v>45505</v>
      </c>
      <c r="D141" t="inlineStr">
        <is>
          <t>VÄSTRA GÖTALANDS LÄN</t>
        </is>
      </c>
      <c r="E141" t="inlineStr">
        <is>
          <t>BENGTSFORS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65930-2019</t>
        </is>
      </c>
      <c r="B142" s="1" t="n">
        <v>43801</v>
      </c>
      <c r="C142" s="1" t="n">
        <v>45505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65361-2019</t>
        </is>
      </c>
      <c r="B143" s="1" t="n">
        <v>43803</v>
      </c>
      <c r="C143" s="1" t="n">
        <v>45505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65453-2019</t>
        </is>
      </c>
      <c r="B144" s="1" t="n">
        <v>43803</v>
      </c>
      <c r="C144" s="1" t="n">
        <v>45505</v>
      </c>
      <c r="D144" t="inlineStr">
        <is>
          <t>VÄSTRA GÖTALANDS LÄN</t>
        </is>
      </c>
      <c r="E144" t="inlineStr">
        <is>
          <t>BENGTSFORS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65525-2019</t>
        </is>
      </c>
      <c r="B145" s="1" t="n">
        <v>43803</v>
      </c>
      <c r="C145" s="1" t="n">
        <v>45505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65852-2019</t>
        </is>
      </c>
      <c r="B146" s="1" t="n">
        <v>43805</v>
      </c>
      <c r="C146" s="1" t="n">
        <v>45505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67648-2019</t>
        </is>
      </c>
      <c r="B147" s="1" t="n">
        <v>43809</v>
      </c>
      <c r="C147" s="1" t="n">
        <v>45505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66610-2019</t>
        </is>
      </c>
      <c r="B148" s="1" t="n">
        <v>43809</v>
      </c>
      <c r="C148" s="1" t="n">
        <v>45505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67129-2019</t>
        </is>
      </c>
      <c r="B149" s="1" t="n">
        <v>43811</v>
      </c>
      <c r="C149" s="1" t="n">
        <v>45505</v>
      </c>
      <c r="D149" t="inlineStr">
        <is>
          <t>VÄSTRA GÖTALANDS LÄN</t>
        </is>
      </c>
      <c r="E149" t="inlineStr">
        <is>
          <t>BENGTSFORS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67421-2019</t>
        </is>
      </c>
      <c r="B150" s="1" t="n">
        <v>43812</v>
      </c>
      <c r="C150" s="1" t="n">
        <v>45505</v>
      </c>
      <c r="D150" t="inlineStr">
        <is>
          <t>VÄSTRA GÖTALANDS LÄN</t>
        </is>
      </c>
      <c r="E150" t="inlineStr">
        <is>
          <t>BENGTSFORS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67685-2019</t>
        </is>
      </c>
      <c r="B151" s="1" t="n">
        <v>43815</v>
      </c>
      <c r="C151" s="1" t="n">
        <v>45505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67687-2019</t>
        </is>
      </c>
      <c r="B152" s="1" t="n">
        <v>43815</v>
      </c>
      <c r="C152" s="1" t="n">
        <v>45505</v>
      </c>
      <c r="D152" t="inlineStr">
        <is>
          <t>VÄSTRA GÖTALANDS LÄN</t>
        </is>
      </c>
      <c r="E152" t="inlineStr">
        <is>
          <t>BENGTSFORS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67610-2019</t>
        </is>
      </c>
      <c r="B153" s="1" t="n">
        <v>43815</v>
      </c>
      <c r="C153" s="1" t="n">
        <v>45505</v>
      </c>
      <c r="D153" t="inlineStr">
        <is>
          <t>VÄSTRA GÖTALANDS LÄN</t>
        </is>
      </c>
      <c r="E153" t="inlineStr">
        <is>
          <t>BENGTSFORS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68138-2019</t>
        </is>
      </c>
      <c r="B154" s="1" t="n">
        <v>43817</v>
      </c>
      <c r="C154" s="1" t="n">
        <v>45505</v>
      </c>
      <c r="D154" t="inlineStr">
        <is>
          <t>VÄSTRA GÖTALANDS LÄN</t>
        </is>
      </c>
      <c r="E154" t="inlineStr">
        <is>
          <t>BENGTSFORS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68140-2019</t>
        </is>
      </c>
      <c r="B155" s="1" t="n">
        <v>43817</v>
      </c>
      <c r="C155" s="1" t="n">
        <v>45505</v>
      </c>
      <c r="D155" t="inlineStr">
        <is>
          <t>VÄSTRA GÖTALANDS LÄN</t>
        </is>
      </c>
      <c r="E155" t="inlineStr">
        <is>
          <t>BENGTSFORS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68437-2019</t>
        </is>
      </c>
      <c r="B156" s="1" t="n">
        <v>43818</v>
      </c>
      <c r="C156" s="1" t="n">
        <v>45505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68697-2019</t>
        </is>
      </c>
      <c r="B157" s="1" t="n">
        <v>43819</v>
      </c>
      <c r="C157" s="1" t="n">
        <v>45505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506-2020</t>
        </is>
      </c>
      <c r="B158" s="1" t="n">
        <v>43837</v>
      </c>
      <c r="C158" s="1" t="n">
        <v>45505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669-2020</t>
        </is>
      </c>
      <c r="B159" s="1" t="n">
        <v>43838</v>
      </c>
      <c r="C159" s="1" t="n">
        <v>45505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894-2020</t>
        </is>
      </c>
      <c r="B160" s="1" t="n">
        <v>43839</v>
      </c>
      <c r="C160" s="1" t="n">
        <v>45505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2312-2020</t>
        </is>
      </c>
      <c r="B161" s="1" t="n">
        <v>43846</v>
      </c>
      <c r="C161" s="1" t="n">
        <v>45505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2545-2020</t>
        </is>
      </c>
      <c r="B162" s="1" t="n">
        <v>43847</v>
      </c>
      <c r="C162" s="1" t="n">
        <v>45505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2882-2020</t>
        </is>
      </c>
      <c r="B163" s="1" t="n">
        <v>43850</v>
      </c>
      <c r="C163" s="1" t="n">
        <v>45505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5205-2020</t>
        </is>
      </c>
      <c r="B164" s="1" t="n">
        <v>43854</v>
      </c>
      <c r="C164" s="1" t="n">
        <v>45505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3944-2020</t>
        </is>
      </c>
      <c r="B165" s="1" t="n">
        <v>43854</v>
      </c>
      <c r="C165" s="1" t="n">
        <v>45505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4445-2020</t>
        </is>
      </c>
      <c r="B166" s="1" t="n">
        <v>43858</v>
      </c>
      <c r="C166" s="1" t="n">
        <v>45505</v>
      </c>
      <c r="D166" t="inlineStr">
        <is>
          <t>VÄSTRA GÖTALANDS LÄN</t>
        </is>
      </c>
      <c r="E166" t="inlineStr">
        <is>
          <t>BENGTSFORS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4915-2020</t>
        </is>
      </c>
      <c r="B167" s="1" t="n">
        <v>43859</v>
      </c>
      <c r="C167" s="1" t="n">
        <v>45505</v>
      </c>
      <c r="D167" t="inlineStr">
        <is>
          <t>VÄSTRA GÖTALANDS LÄN</t>
        </is>
      </c>
      <c r="E167" t="inlineStr">
        <is>
          <t>BENGTSFORS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5843-2020</t>
        </is>
      </c>
      <c r="B168" s="1" t="n">
        <v>43864</v>
      </c>
      <c r="C168" s="1" t="n">
        <v>45505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5835-2020</t>
        </is>
      </c>
      <c r="B169" s="1" t="n">
        <v>43864</v>
      </c>
      <c r="C169" s="1" t="n">
        <v>45505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5991-2020</t>
        </is>
      </c>
      <c r="B170" s="1" t="n">
        <v>43864</v>
      </c>
      <c r="C170" s="1" t="n">
        <v>45505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6109-2020</t>
        </is>
      </c>
      <c r="B171" s="1" t="n">
        <v>43864</v>
      </c>
      <c r="C171" s="1" t="n">
        <v>45505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6108-2020</t>
        </is>
      </c>
      <c r="B172" s="1" t="n">
        <v>43865</v>
      </c>
      <c r="C172" s="1" t="n">
        <v>45505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7083-2020</t>
        </is>
      </c>
      <c r="B173" s="1" t="n">
        <v>43868</v>
      </c>
      <c r="C173" s="1" t="n">
        <v>45505</v>
      </c>
      <c r="D173" t="inlineStr">
        <is>
          <t>VÄSTRA GÖTALANDS LÄN</t>
        </is>
      </c>
      <c r="E173" t="inlineStr">
        <is>
          <t>BENGTSFORS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7089-2020</t>
        </is>
      </c>
      <c r="B174" s="1" t="n">
        <v>43868</v>
      </c>
      <c r="C174" s="1" t="n">
        <v>45505</v>
      </c>
      <c r="D174" t="inlineStr">
        <is>
          <t>VÄSTRA GÖTALANDS LÄN</t>
        </is>
      </c>
      <c r="E174" t="inlineStr">
        <is>
          <t>BENGTSFORS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7684-2020</t>
        </is>
      </c>
      <c r="B175" s="1" t="n">
        <v>43872</v>
      </c>
      <c r="C175" s="1" t="n">
        <v>45505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7853-2020</t>
        </is>
      </c>
      <c r="B176" s="1" t="n">
        <v>43873</v>
      </c>
      <c r="C176" s="1" t="n">
        <v>45505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8162-2020</t>
        </is>
      </c>
      <c r="B177" s="1" t="n">
        <v>43873</v>
      </c>
      <c r="C177" s="1" t="n">
        <v>45505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8168-2020</t>
        </is>
      </c>
      <c r="B178" s="1" t="n">
        <v>43874</v>
      </c>
      <c r="C178" s="1" t="n">
        <v>45505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8177-2020</t>
        </is>
      </c>
      <c r="B179" s="1" t="n">
        <v>43874</v>
      </c>
      <c r="C179" s="1" t="n">
        <v>45505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9490-2020</t>
        </is>
      </c>
      <c r="B180" s="1" t="n">
        <v>43880</v>
      </c>
      <c r="C180" s="1" t="n">
        <v>45505</v>
      </c>
      <c r="D180" t="inlineStr">
        <is>
          <t>VÄSTRA GÖTALANDS LÄN</t>
        </is>
      </c>
      <c r="E180" t="inlineStr">
        <is>
          <t>BENGTSFORS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9864-2020</t>
        </is>
      </c>
      <c r="B181" s="1" t="n">
        <v>43882</v>
      </c>
      <c r="C181" s="1" t="n">
        <v>45505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10381-2020</t>
        </is>
      </c>
      <c r="B182" s="1" t="n">
        <v>43885</v>
      </c>
      <c r="C182" s="1" t="n">
        <v>45505</v>
      </c>
      <c r="D182" t="inlineStr">
        <is>
          <t>VÄSTRA GÖTALANDS LÄN</t>
        </is>
      </c>
      <c r="E182" t="inlineStr">
        <is>
          <t>BENGTSFORS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11230-2020</t>
        </is>
      </c>
      <c r="B183" s="1" t="n">
        <v>43892</v>
      </c>
      <c r="C183" s="1" t="n">
        <v>45505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11208-2020</t>
        </is>
      </c>
      <c r="B184" s="1" t="n">
        <v>43892</v>
      </c>
      <c r="C184" s="1" t="n">
        <v>45505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11227-2020</t>
        </is>
      </c>
      <c r="B185" s="1" t="n">
        <v>43892</v>
      </c>
      <c r="C185" s="1" t="n">
        <v>45505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11713-2020</t>
        </is>
      </c>
      <c r="B186" s="1" t="n">
        <v>43894</v>
      </c>
      <c r="C186" s="1" t="n">
        <v>45505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12010-2020</t>
        </is>
      </c>
      <c r="B187" s="1" t="n">
        <v>43894</v>
      </c>
      <c r="C187" s="1" t="n">
        <v>45505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12857-2020</t>
        </is>
      </c>
      <c r="B188" s="1" t="n">
        <v>43899</v>
      </c>
      <c r="C188" s="1" t="n">
        <v>45505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12835-2020</t>
        </is>
      </c>
      <c r="B189" s="1" t="n">
        <v>43899</v>
      </c>
      <c r="C189" s="1" t="n">
        <v>45505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12859-2020</t>
        </is>
      </c>
      <c r="B190" s="1" t="n">
        <v>43899</v>
      </c>
      <c r="C190" s="1" t="n">
        <v>45505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14166-2020</t>
        </is>
      </c>
      <c r="B191" s="1" t="n">
        <v>43899</v>
      </c>
      <c r="C191" s="1" t="n">
        <v>45505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13000-2020</t>
        </is>
      </c>
      <c r="B192" s="1" t="n">
        <v>43900</v>
      </c>
      <c r="C192" s="1" t="n">
        <v>45505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13055-2020</t>
        </is>
      </c>
      <c r="B193" s="1" t="n">
        <v>43900</v>
      </c>
      <c r="C193" s="1" t="n">
        <v>45505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12993-2020</t>
        </is>
      </c>
      <c r="B194" s="1" t="n">
        <v>43900</v>
      </c>
      <c r="C194" s="1" t="n">
        <v>45505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13289-2020</t>
        </is>
      </c>
      <c r="B195" s="1" t="n">
        <v>43901</v>
      </c>
      <c r="C195" s="1" t="n">
        <v>45505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14748-2020</t>
        </is>
      </c>
      <c r="B196" s="1" t="n">
        <v>43902</v>
      </c>
      <c r="C196" s="1" t="n">
        <v>45505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13589-2020</t>
        </is>
      </c>
      <c r="B197" s="1" t="n">
        <v>43903</v>
      </c>
      <c r="C197" s="1" t="n">
        <v>45505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14159-2020</t>
        </is>
      </c>
      <c r="B198" s="1" t="n">
        <v>43907</v>
      </c>
      <c r="C198" s="1" t="n">
        <v>45505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14448-2020</t>
        </is>
      </c>
      <c r="B199" s="1" t="n">
        <v>43908</v>
      </c>
      <c r="C199" s="1" t="n">
        <v>45505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14641-2020</t>
        </is>
      </c>
      <c r="B200" s="1" t="n">
        <v>43909</v>
      </c>
      <c r="C200" s="1" t="n">
        <v>45505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15083-2020</t>
        </is>
      </c>
      <c r="B201" s="1" t="n">
        <v>43910</v>
      </c>
      <c r="C201" s="1" t="n">
        <v>45505</v>
      </c>
      <c r="D201" t="inlineStr">
        <is>
          <t>VÄSTRA GÖTALANDS LÄN</t>
        </is>
      </c>
      <c r="E201" t="inlineStr">
        <is>
          <t>BENGTSFORS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15387-2020</t>
        </is>
      </c>
      <c r="B202" s="1" t="n">
        <v>43913</v>
      </c>
      <c r="C202" s="1" t="n">
        <v>45505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17209-2020</t>
        </is>
      </c>
      <c r="B203" s="1" t="n">
        <v>43913</v>
      </c>
      <c r="C203" s="1" t="n">
        <v>45505</v>
      </c>
      <c r="D203" t="inlineStr">
        <is>
          <t>VÄSTRA GÖTALANDS LÄN</t>
        </is>
      </c>
      <c r="E203" t="inlineStr">
        <is>
          <t>BENGTSFORS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15386-2020</t>
        </is>
      </c>
      <c r="B204" s="1" t="n">
        <v>43913</v>
      </c>
      <c r="C204" s="1" t="n">
        <v>45505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15522-2020</t>
        </is>
      </c>
      <c r="B205" s="1" t="n">
        <v>43914</v>
      </c>
      <c r="C205" s="1" t="n">
        <v>45505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15758-2020</t>
        </is>
      </c>
      <c r="B206" s="1" t="n">
        <v>43915</v>
      </c>
      <c r="C206" s="1" t="n">
        <v>45505</v>
      </c>
      <c r="D206" t="inlineStr">
        <is>
          <t>VÄSTRA GÖTALANDS LÄN</t>
        </is>
      </c>
      <c r="E206" t="inlineStr">
        <is>
          <t>BENGTSFORS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17054-2020</t>
        </is>
      </c>
      <c r="B207" s="1" t="n">
        <v>43921</v>
      </c>
      <c r="C207" s="1" t="n">
        <v>45505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17059-2020</t>
        </is>
      </c>
      <c r="B208" s="1" t="n">
        <v>43921</v>
      </c>
      <c r="C208" s="1" t="n">
        <v>45505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17748-2020</t>
        </is>
      </c>
      <c r="B209" s="1" t="n">
        <v>43924</v>
      </c>
      <c r="C209" s="1" t="n">
        <v>45505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18521-2020</t>
        </is>
      </c>
      <c r="B210" s="1" t="n">
        <v>43927</v>
      </c>
      <c r="C210" s="1" t="n">
        <v>45505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18407-2020</t>
        </is>
      </c>
      <c r="B211" s="1" t="n">
        <v>43928</v>
      </c>
      <c r="C211" s="1" t="n">
        <v>45505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18738-2020</t>
        </is>
      </c>
      <c r="B212" s="1" t="n">
        <v>43930</v>
      </c>
      <c r="C212" s="1" t="n">
        <v>45505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19030-2020</t>
        </is>
      </c>
      <c r="B213" s="1" t="n">
        <v>43936</v>
      </c>
      <c r="C213" s="1" t="n">
        <v>45505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19424-2020</t>
        </is>
      </c>
      <c r="B214" s="1" t="n">
        <v>43938</v>
      </c>
      <c r="C214" s="1" t="n">
        <v>45505</v>
      </c>
      <c r="D214" t="inlineStr">
        <is>
          <t>VÄSTRA GÖTALANDS LÄN</t>
        </is>
      </c>
      <c r="E214" t="inlineStr">
        <is>
          <t>BENGTSFORS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19429-2020</t>
        </is>
      </c>
      <c r="B215" s="1" t="n">
        <v>43938</v>
      </c>
      <c r="C215" s="1" t="n">
        <v>45505</v>
      </c>
      <c r="D215" t="inlineStr">
        <is>
          <t>VÄSTRA GÖTALANDS LÄN</t>
        </is>
      </c>
      <c r="E215" t="inlineStr">
        <is>
          <t>BENGTSFORS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20178-2020</t>
        </is>
      </c>
      <c r="B216" s="1" t="n">
        <v>43944</v>
      </c>
      <c r="C216" s="1" t="n">
        <v>45505</v>
      </c>
      <c r="D216" t="inlineStr">
        <is>
          <t>VÄSTRA GÖTALANDS LÄN</t>
        </is>
      </c>
      <c r="E216" t="inlineStr">
        <is>
          <t>BENGTSFORS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20857-2020</t>
        </is>
      </c>
      <c r="B217" s="1" t="n">
        <v>43944</v>
      </c>
      <c r="C217" s="1" t="n">
        <v>45505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20803-2020</t>
        </is>
      </c>
      <c r="B218" s="1" t="n">
        <v>43949</v>
      </c>
      <c r="C218" s="1" t="n">
        <v>45505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20856-2020</t>
        </is>
      </c>
      <c r="B219" s="1" t="n">
        <v>43949</v>
      </c>
      <c r="C219" s="1" t="n">
        <v>45505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21118-2020</t>
        </is>
      </c>
      <c r="B220" s="1" t="n">
        <v>43949</v>
      </c>
      <c r="C220" s="1" t="n">
        <v>45505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22614-2020</t>
        </is>
      </c>
      <c r="B221" s="1" t="n">
        <v>43959</v>
      </c>
      <c r="C221" s="1" t="n">
        <v>45505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23882-2020</t>
        </is>
      </c>
      <c r="B222" s="1" t="n">
        <v>43970</v>
      </c>
      <c r="C222" s="1" t="n">
        <v>45505</v>
      </c>
      <c r="D222" t="inlineStr">
        <is>
          <t>VÄSTRA GÖTALANDS LÄN</t>
        </is>
      </c>
      <c r="E222" t="inlineStr">
        <is>
          <t>BENGTSFORS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28716-2020</t>
        </is>
      </c>
      <c r="B223" s="1" t="n">
        <v>43999</v>
      </c>
      <c r="C223" s="1" t="n">
        <v>45505</v>
      </c>
      <c r="D223" t="inlineStr">
        <is>
          <t>VÄSTRA GÖTALANDS LÄN</t>
        </is>
      </c>
      <c r="E223" t="inlineStr">
        <is>
          <t>BENGTSFORS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29185-2020</t>
        </is>
      </c>
      <c r="B224" s="1" t="n">
        <v>43999</v>
      </c>
      <c r="C224" s="1" t="n">
        <v>45505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29165-2020</t>
        </is>
      </c>
      <c r="B225" s="1" t="n">
        <v>43999</v>
      </c>
      <c r="C225" s="1" t="n">
        <v>45505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29279-2020</t>
        </is>
      </c>
      <c r="B226" s="1" t="n">
        <v>44004</v>
      </c>
      <c r="C226" s="1" t="n">
        <v>45505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29673-2020</t>
        </is>
      </c>
      <c r="B227" s="1" t="n">
        <v>44004</v>
      </c>
      <c r="C227" s="1" t="n">
        <v>45505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29860-2020</t>
        </is>
      </c>
      <c r="B228" s="1" t="n">
        <v>44006</v>
      </c>
      <c r="C228" s="1" t="n">
        <v>45505</v>
      </c>
      <c r="D228" t="inlineStr">
        <is>
          <t>VÄSTRA GÖTALANDS LÄN</t>
        </is>
      </c>
      <c r="E228" t="inlineStr">
        <is>
          <t>BENGTSFORS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30233-2020</t>
        </is>
      </c>
      <c r="B229" s="1" t="n">
        <v>44007</v>
      </c>
      <c r="C229" s="1" t="n">
        <v>45505</v>
      </c>
      <c r="D229" t="inlineStr">
        <is>
          <t>VÄSTRA GÖTALANDS LÄN</t>
        </is>
      </c>
      <c r="E229" t="inlineStr">
        <is>
          <t>BENGTSFORS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30274-2020</t>
        </is>
      </c>
      <c r="B230" s="1" t="n">
        <v>44007</v>
      </c>
      <c r="C230" s="1" t="n">
        <v>45505</v>
      </c>
      <c r="D230" t="inlineStr">
        <is>
          <t>VÄSTRA GÖTALANDS LÄN</t>
        </is>
      </c>
      <c r="E230" t="inlineStr">
        <is>
          <t>BENGTSFORS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31191-2020</t>
        </is>
      </c>
      <c r="B231" s="1" t="n">
        <v>44012</v>
      </c>
      <c r="C231" s="1" t="n">
        <v>45505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32191-2020</t>
        </is>
      </c>
      <c r="B232" s="1" t="n">
        <v>44015</v>
      </c>
      <c r="C232" s="1" t="n">
        <v>45505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32706-2020</t>
        </is>
      </c>
      <c r="B233" s="1" t="n">
        <v>44018</v>
      </c>
      <c r="C233" s="1" t="n">
        <v>45505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34301-2020</t>
        </is>
      </c>
      <c r="B234" s="1" t="n">
        <v>44031</v>
      </c>
      <c r="C234" s="1" t="n">
        <v>45505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34642-2020</t>
        </is>
      </c>
      <c r="B235" s="1" t="n">
        <v>44034</v>
      </c>
      <c r="C235" s="1" t="n">
        <v>45505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35099-2020</t>
        </is>
      </c>
      <c r="B236" s="1" t="n">
        <v>44040</v>
      </c>
      <c r="C236" s="1" t="n">
        <v>45505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35313-2020</t>
        </is>
      </c>
      <c r="B237" s="1" t="n">
        <v>44041</v>
      </c>
      <c r="C237" s="1" t="n">
        <v>45505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36764-2020</t>
        </is>
      </c>
      <c r="B238" s="1" t="n">
        <v>44053</v>
      </c>
      <c r="C238" s="1" t="n">
        <v>45505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36952-2020</t>
        </is>
      </c>
      <c r="B239" s="1" t="n">
        <v>44053</v>
      </c>
      <c r="C239" s="1" t="n">
        <v>45505</v>
      </c>
      <c r="D239" t="inlineStr">
        <is>
          <t>VÄSTRA GÖTALANDS LÄN</t>
        </is>
      </c>
      <c r="E239" t="inlineStr">
        <is>
          <t>BENGTSFORS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37279-2020</t>
        </is>
      </c>
      <c r="B240" s="1" t="n">
        <v>44054</v>
      </c>
      <c r="C240" s="1" t="n">
        <v>45505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37418-2020</t>
        </is>
      </c>
      <c r="B241" s="1" t="n">
        <v>44055</v>
      </c>
      <c r="C241" s="1" t="n">
        <v>45505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37431-2020</t>
        </is>
      </c>
      <c r="B242" s="1" t="n">
        <v>44055</v>
      </c>
      <c r="C242" s="1" t="n">
        <v>45505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37575-2020</t>
        </is>
      </c>
      <c r="B243" s="1" t="n">
        <v>44056</v>
      </c>
      <c r="C243" s="1" t="n">
        <v>45505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38834-2020</t>
        </is>
      </c>
      <c r="B244" s="1" t="n">
        <v>44062</v>
      </c>
      <c r="C244" s="1" t="n">
        <v>45505</v>
      </c>
      <c r="D244" t="inlineStr">
        <is>
          <t>VÄSTRA GÖTALANDS LÄN</t>
        </is>
      </c>
      <c r="E244" t="inlineStr">
        <is>
          <t>BENGTSFORS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40551-2020</t>
        </is>
      </c>
      <c r="B245" s="1" t="n">
        <v>44069</v>
      </c>
      <c r="C245" s="1" t="n">
        <v>45505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41329-2020</t>
        </is>
      </c>
      <c r="B246" s="1" t="n">
        <v>44071</v>
      </c>
      <c r="C246" s="1" t="n">
        <v>45505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41627-2020</t>
        </is>
      </c>
      <c r="B247" s="1" t="n">
        <v>44074</v>
      </c>
      <c r="C247" s="1" t="n">
        <v>45505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42416-2020</t>
        </is>
      </c>
      <c r="B248" s="1" t="n">
        <v>44076</v>
      </c>
      <c r="C248" s="1" t="n">
        <v>45505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42424-2020</t>
        </is>
      </c>
      <c r="B249" s="1" t="n">
        <v>44076</v>
      </c>
      <c r="C249" s="1" t="n">
        <v>45505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42419-2020</t>
        </is>
      </c>
      <c r="B250" s="1" t="n">
        <v>44076</v>
      </c>
      <c r="C250" s="1" t="n">
        <v>45505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42573-2020</t>
        </is>
      </c>
      <c r="B251" s="1" t="n">
        <v>44077</v>
      </c>
      <c r="C251" s="1" t="n">
        <v>45505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44344-2020</t>
        </is>
      </c>
      <c r="B252" s="1" t="n">
        <v>44084</v>
      </c>
      <c r="C252" s="1" t="n">
        <v>45505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45505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46831-2020</t>
        </is>
      </c>
      <c r="B254" s="1" t="n">
        <v>44096</v>
      </c>
      <c r="C254" s="1" t="n">
        <v>45505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47995-2020</t>
        </is>
      </c>
      <c r="B255" s="1" t="n">
        <v>44099</v>
      </c>
      <c r="C255" s="1" t="n">
        <v>45505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48008-2020</t>
        </is>
      </c>
      <c r="B256" s="1" t="n">
        <v>44099</v>
      </c>
      <c r="C256" s="1" t="n">
        <v>45505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49295-2020</t>
        </is>
      </c>
      <c r="B257" s="1" t="n">
        <v>44105</v>
      </c>
      <c r="C257" s="1" t="n">
        <v>45505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52439-2020</t>
        </is>
      </c>
      <c r="B258" s="1" t="n">
        <v>44112</v>
      </c>
      <c r="C258" s="1" t="n">
        <v>45505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52436-2020</t>
        </is>
      </c>
      <c r="B259" s="1" t="n">
        <v>44112</v>
      </c>
      <c r="C259" s="1" t="n">
        <v>45505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52911-2020</t>
        </is>
      </c>
      <c r="B260" s="1" t="n">
        <v>44119</v>
      </c>
      <c r="C260" s="1" t="n">
        <v>45505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55741-2020</t>
        </is>
      </c>
      <c r="B261" s="1" t="n">
        <v>44132</v>
      </c>
      <c r="C261" s="1" t="n">
        <v>45505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55909-2020</t>
        </is>
      </c>
      <c r="B262" s="1" t="n">
        <v>44132</v>
      </c>
      <c r="C262" s="1" t="n">
        <v>45505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56282-2020</t>
        </is>
      </c>
      <c r="B263" s="1" t="n">
        <v>44134</v>
      </c>
      <c r="C263" s="1" t="n">
        <v>45505</v>
      </c>
      <c r="D263" t="inlineStr">
        <is>
          <t>VÄSTRA GÖTALANDS LÄN</t>
        </is>
      </c>
      <c r="E263" t="inlineStr">
        <is>
          <t>BENGTSFORS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56318-2020</t>
        </is>
      </c>
      <c r="B264" s="1" t="n">
        <v>44134</v>
      </c>
      <c r="C264" s="1" t="n">
        <v>45505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58166-2020</t>
        </is>
      </c>
      <c r="B265" s="1" t="n">
        <v>44144</v>
      </c>
      <c r="C265" s="1" t="n">
        <v>45505</v>
      </c>
      <c r="D265" t="inlineStr">
        <is>
          <t>VÄSTRA GÖTALANDS LÄN</t>
        </is>
      </c>
      <c r="E265" t="inlineStr">
        <is>
          <t>BENGTSFORS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59071-2020</t>
        </is>
      </c>
      <c r="B266" s="1" t="n">
        <v>44147</v>
      </c>
      <c r="C266" s="1" t="n">
        <v>45505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59138-2020</t>
        </is>
      </c>
      <c r="B267" s="1" t="n">
        <v>44147</v>
      </c>
      <c r="C267" s="1" t="n">
        <v>45505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45505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60123-2020</t>
        </is>
      </c>
      <c r="B269" s="1" t="n">
        <v>44152</v>
      </c>
      <c r="C269" s="1" t="n">
        <v>45505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60208-2020</t>
        </is>
      </c>
      <c r="B270" s="1" t="n">
        <v>44152</v>
      </c>
      <c r="C270" s="1" t="n">
        <v>45505</v>
      </c>
      <c r="D270" t="inlineStr">
        <is>
          <t>VÄSTRA GÖTALANDS LÄN</t>
        </is>
      </c>
      <c r="E270" t="inlineStr">
        <is>
          <t>BENGTSFORS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61017-2020</t>
        </is>
      </c>
      <c r="B271" s="1" t="n">
        <v>44154</v>
      </c>
      <c r="C271" s="1" t="n">
        <v>45505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61877-2020</t>
        </is>
      </c>
      <c r="B272" s="1" t="n">
        <v>44155</v>
      </c>
      <c r="C272" s="1" t="n">
        <v>45505</v>
      </c>
      <c r="D272" t="inlineStr">
        <is>
          <t>VÄSTRA GÖTALANDS LÄN</t>
        </is>
      </c>
      <c r="E272" t="inlineStr">
        <is>
          <t>BENGTSFORS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45505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63569-2020</t>
        </is>
      </c>
      <c r="B274" s="1" t="n">
        <v>44165</v>
      </c>
      <c r="C274" s="1" t="n">
        <v>45505</v>
      </c>
      <c r="D274" t="inlineStr">
        <is>
          <t>VÄSTRA GÖTALANDS LÄN</t>
        </is>
      </c>
      <c r="E274" t="inlineStr">
        <is>
          <t>BENGTSFORS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63959-2020</t>
        </is>
      </c>
      <c r="B275" s="1" t="n">
        <v>44165</v>
      </c>
      <c r="C275" s="1" t="n">
        <v>45505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65036-2020</t>
        </is>
      </c>
      <c r="B276" s="1" t="n">
        <v>44167</v>
      </c>
      <c r="C276" s="1" t="n">
        <v>45505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64890-2020</t>
        </is>
      </c>
      <c r="B277" s="1" t="n">
        <v>44171</v>
      </c>
      <c r="C277" s="1" t="n">
        <v>45505</v>
      </c>
      <c r="D277" t="inlineStr">
        <is>
          <t>VÄSTRA GÖTALANDS LÄN</t>
        </is>
      </c>
      <c r="E277" t="inlineStr">
        <is>
          <t>BENGTSFORS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65018-2020</t>
        </is>
      </c>
      <c r="B278" s="1" t="n">
        <v>44172</v>
      </c>
      <c r="C278" s="1" t="n">
        <v>45505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66078-2020</t>
        </is>
      </c>
      <c r="B279" s="1" t="n">
        <v>44173</v>
      </c>
      <c r="C279" s="1" t="n">
        <v>45505</v>
      </c>
      <c r="D279" t="inlineStr">
        <is>
          <t>VÄSTRA GÖTALANDS LÄN</t>
        </is>
      </c>
      <c r="E279" t="inlineStr">
        <is>
          <t>BENGTSFORS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65747-2020</t>
        </is>
      </c>
      <c r="B280" s="1" t="n">
        <v>44174</v>
      </c>
      <c r="C280" s="1" t="n">
        <v>45505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66364-2020</t>
        </is>
      </c>
      <c r="B281" s="1" t="n">
        <v>44176</v>
      </c>
      <c r="C281" s="1" t="n">
        <v>45505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66569-2020</t>
        </is>
      </c>
      <c r="B282" s="1" t="n">
        <v>44179</v>
      </c>
      <c r="C282" s="1" t="n">
        <v>45505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66929-2020</t>
        </is>
      </c>
      <c r="B283" s="1" t="n">
        <v>44180</v>
      </c>
      <c r="C283" s="1" t="n">
        <v>45505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68278-2020</t>
        </is>
      </c>
      <c r="B284" s="1" t="n">
        <v>44183</v>
      </c>
      <c r="C284" s="1" t="n">
        <v>45505</v>
      </c>
      <c r="D284" t="inlineStr">
        <is>
          <t>VÄSTRA GÖTALANDS LÄN</t>
        </is>
      </c>
      <c r="E284" t="inlineStr">
        <is>
          <t>BENGTSFORS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1045-2021</t>
        </is>
      </c>
      <c r="B285" s="1" t="n">
        <v>44207</v>
      </c>
      <c r="C285" s="1" t="n">
        <v>45505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1039-2021</t>
        </is>
      </c>
      <c r="B286" s="1" t="n">
        <v>44207</v>
      </c>
      <c r="C286" s="1" t="n">
        <v>45505</v>
      </c>
      <c r="D286" t="inlineStr">
        <is>
          <t>VÄSTRA GÖTALANDS LÄN</t>
        </is>
      </c>
      <c r="E286" t="inlineStr">
        <is>
          <t>BENGTSFORS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1498-2021</t>
        </is>
      </c>
      <c r="B287" s="1" t="n">
        <v>44209</v>
      </c>
      <c r="C287" s="1" t="n">
        <v>45505</v>
      </c>
      <c r="D287" t="inlineStr">
        <is>
          <t>VÄSTRA GÖTALANDS LÄN</t>
        </is>
      </c>
      <c r="E287" t="inlineStr">
        <is>
          <t>BENGTSFORS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1686-2021</t>
        </is>
      </c>
      <c r="B288" s="1" t="n">
        <v>44209</v>
      </c>
      <c r="C288" s="1" t="n">
        <v>45505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2723-2021</t>
        </is>
      </c>
      <c r="B289" s="1" t="n">
        <v>44215</v>
      </c>
      <c r="C289" s="1" t="n">
        <v>45505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4105-2021</t>
        </is>
      </c>
      <c r="B290" s="1" t="n">
        <v>44222</v>
      </c>
      <c r="C290" s="1" t="n">
        <v>45505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4626-2021</t>
        </is>
      </c>
      <c r="B291" s="1" t="n">
        <v>44224</v>
      </c>
      <c r="C291" s="1" t="n">
        <v>45505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5159-2021</t>
        </is>
      </c>
      <c r="B292" s="1" t="n">
        <v>44228</v>
      </c>
      <c r="C292" s="1" t="n">
        <v>45505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6246-2021</t>
        </is>
      </c>
      <c r="B293" s="1" t="n">
        <v>44235</v>
      </c>
      <c r="C293" s="1" t="n">
        <v>45505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6979-2021</t>
        </is>
      </c>
      <c r="B294" s="1" t="n">
        <v>44237</v>
      </c>
      <c r="C294" s="1" t="n">
        <v>45505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7849-2021</t>
        </is>
      </c>
      <c r="B295" s="1" t="n">
        <v>44242</v>
      </c>
      <c r="C295" s="1" t="n">
        <v>45505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8407-2021</t>
        </is>
      </c>
      <c r="B296" s="1" t="n">
        <v>44245</v>
      </c>
      <c r="C296" s="1" t="n">
        <v>45505</v>
      </c>
      <c r="D296" t="inlineStr">
        <is>
          <t>VÄSTRA GÖTALANDS LÄN</t>
        </is>
      </c>
      <c r="E296" t="inlineStr">
        <is>
          <t>BENGTSFORS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8412-2021</t>
        </is>
      </c>
      <c r="B297" s="1" t="n">
        <v>44245</v>
      </c>
      <c r="C297" s="1" t="n">
        <v>45505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8663-2021</t>
        </is>
      </c>
      <c r="B298" s="1" t="n">
        <v>44245</v>
      </c>
      <c r="C298" s="1" t="n">
        <v>45505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8884-2021</t>
        </is>
      </c>
      <c r="B299" s="1" t="n">
        <v>44247</v>
      </c>
      <c r="C299" s="1" t="n">
        <v>45505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9030-2021</t>
        </is>
      </c>
      <c r="B300" s="1" t="n">
        <v>44249</v>
      </c>
      <c r="C300" s="1" t="n">
        <v>45505</v>
      </c>
      <c r="D300" t="inlineStr">
        <is>
          <t>VÄSTRA GÖTALANDS LÄN</t>
        </is>
      </c>
      <c r="E300" t="inlineStr">
        <is>
          <t>BENGTSFORS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9099-2021</t>
        </is>
      </c>
      <c r="B301" s="1" t="n">
        <v>44249</v>
      </c>
      <c r="C301" s="1" t="n">
        <v>45505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9513-2021</t>
        </is>
      </c>
      <c r="B302" s="1" t="n">
        <v>44251</v>
      </c>
      <c r="C302" s="1" t="n">
        <v>45505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9756-2021</t>
        </is>
      </c>
      <c r="B303" s="1" t="n">
        <v>44252</v>
      </c>
      <c r="C303" s="1" t="n">
        <v>45505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10603-2021</t>
        </is>
      </c>
      <c r="B304" s="1" t="n">
        <v>44258</v>
      </c>
      <c r="C304" s="1" t="n">
        <v>45505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10622-2021</t>
        </is>
      </c>
      <c r="B305" s="1" t="n">
        <v>44258</v>
      </c>
      <c r="C305" s="1" t="n">
        <v>45505</v>
      </c>
      <c r="D305" t="inlineStr">
        <is>
          <t>VÄSTRA GÖTALANDS LÄN</t>
        </is>
      </c>
      <c r="E305" t="inlineStr">
        <is>
          <t>BENGTSFORS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10650-2021</t>
        </is>
      </c>
      <c r="B306" s="1" t="n">
        <v>44258</v>
      </c>
      <c r="C306" s="1" t="n">
        <v>45505</v>
      </c>
      <c r="D306" t="inlineStr">
        <is>
          <t>VÄSTRA GÖTALANDS LÄN</t>
        </is>
      </c>
      <c r="E306" t="inlineStr">
        <is>
          <t>BENGTSFORS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10544-2021</t>
        </is>
      </c>
      <c r="B307" s="1" t="n">
        <v>44258</v>
      </c>
      <c r="C307" s="1" t="n">
        <v>45505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11510-2021</t>
        </is>
      </c>
      <c r="B308" s="1" t="n">
        <v>44264</v>
      </c>
      <c r="C308" s="1" t="n">
        <v>45505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13583-2021</t>
        </is>
      </c>
      <c r="B309" s="1" t="n">
        <v>44274</v>
      </c>
      <c r="C309" s="1" t="n">
        <v>45505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13664-2021</t>
        </is>
      </c>
      <c r="B310" s="1" t="n">
        <v>44274</v>
      </c>
      <c r="C310" s="1" t="n">
        <v>45505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13936-2021</t>
        </is>
      </c>
      <c r="B311" s="1" t="n">
        <v>44277</v>
      </c>
      <c r="C311" s="1" t="n">
        <v>45505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16499-2021</t>
        </is>
      </c>
      <c r="B312" s="1" t="n">
        <v>44293</v>
      </c>
      <c r="C312" s="1" t="n">
        <v>45505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45505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45505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45505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17839-2021</t>
        </is>
      </c>
      <c r="B316" s="1" t="n">
        <v>44300</v>
      </c>
      <c r="C316" s="1" t="n">
        <v>45505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18054-2021</t>
        </is>
      </c>
      <c r="B317" s="1" t="n">
        <v>44302</v>
      </c>
      <c r="C317" s="1" t="n">
        <v>45505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18195-2021</t>
        </is>
      </c>
      <c r="B318" s="1" t="n">
        <v>44302</v>
      </c>
      <c r="C318" s="1" t="n">
        <v>45505</v>
      </c>
      <c r="D318" t="inlineStr">
        <is>
          <t>VÄSTRA GÖTALANDS LÄN</t>
        </is>
      </c>
      <c r="E318" t="inlineStr">
        <is>
          <t>BENGTSFORS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18309-2021</t>
        </is>
      </c>
      <c r="B319" s="1" t="n">
        <v>44305</v>
      </c>
      <c r="C319" s="1" t="n">
        <v>45505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18304-2021</t>
        </is>
      </c>
      <c r="B320" s="1" t="n">
        <v>44305</v>
      </c>
      <c r="C320" s="1" t="n">
        <v>45505</v>
      </c>
      <c r="D320" t="inlineStr">
        <is>
          <t>VÄSTRA GÖTALANDS LÄN</t>
        </is>
      </c>
      <c r="E320" t="inlineStr">
        <is>
          <t>BENGTSFORS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18620-2021</t>
        </is>
      </c>
      <c r="B321" s="1" t="n">
        <v>44306</v>
      </c>
      <c r="C321" s="1" t="n">
        <v>45505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18613-2021</t>
        </is>
      </c>
      <c r="B322" s="1" t="n">
        <v>44306</v>
      </c>
      <c r="C322" s="1" t="n">
        <v>45505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19490-2021</t>
        </is>
      </c>
      <c r="B323" s="1" t="n">
        <v>44307</v>
      </c>
      <c r="C323" s="1" t="n">
        <v>45505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19500-2021</t>
        </is>
      </c>
      <c r="B324" s="1" t="n">
        <v>44307</v>
      </c>
      <c r="C324" s="1" t="n">
        <v>45505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19767-2021</t>
        </is>
      </c>
      <c r="B325" s="1" t="n">
        <v>44309</v>
      </c>
      <c r="C325" s="1" t="n">
        <v>45505</v>
      </c>
      <c r="D325" t="inlineStr">
        <is>
          <t>VÄSTRA GÖTALANDS LÄN</t>
        </is>
      </c>
      <c r="E325" t="inlineStr">
        <is>
          <t>BENGTSFORS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20239-2021</t>
        </is>
      </c>
      <c r="B326" s="1" t="n">
        <v>44312</v>
      </c>
      <c r="C326" s="1" t="n">
        <v>45505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21463-2021</t>
        </is>
      </c>
      <c r="B327" s="1" t="n">
        <v>44321</v>
      </c>
      <c r="C327" s="1" t="n">
        <v>45505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21470-2021</t>
        </is>
      </c>
      <c r="B328" s="1" t="n">
        <v>44321</v>
      </c>
      <c r="C328" s="1" t="n">
        <v>45505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22628-2021</t>
        </is>
      </c>
      <c r="B329" s="1" t="n">
        <v>44326</v>
      </c>
      <c r="C329" s="1" t="n">
        <v>45505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23650-2021</t>
        </is>
      </c>
      <c r="B330" s="1" t="n">
        <v>44334</v>
      </c>
      <c r="C330" s="1" t="n">
        <v>45505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24641-2021</t>
        </is>
      </c>
      <c r="B331" s="1" t="n">
        <v>44340</v>
      </c>
      <c r="C331" s="1" t="n">
        <v>45505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24763-2021</t>
        </is>
      </c>
      <c r="B332" s="1" t="n">
        <v>44340</v>
      </c>
      <c r="C332" s="1" t="n">
        <v>45505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24609-2021</t>
        </is>
      </c>
      <c r="B333" s="1" t="n">
        <v>44340</v>
      </c>
      <c r="C333" s="1" t="n">
        <v>45505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24595-2021</t>
        </is>
      </c>
      <c r="B334" s="1" t="n">
        <v>44340</v>
      </c>
      <c r="C334" s="1" t="n">
        <v>45505</v>
      </c>
      <c r="D334" t="inlineStr">
        <is>
          <t>VÄSTRA GÖTALANDS LÄN</t>
        </is>
      </c>
      <c r="E334" t="inlineStr">
        <is>
          <t>BENGTSFORS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24903-2021</t>
        </is>
      </c>
      <c r="B335" s="1" t="n">
        <v>44341</v>
      </c>
      <c r="C335" s="1" t="n">
        <v>45505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24914-2021</t>
        </is>
      </c>
      <c r="B336" s="1" t="n">
        <v>44341</v>
      </c>
      <c r="C336" s="1" t="n">
        <v>45505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25714-2021</t>
        </is>
      </c>
      <c r="B337" s="1" t="n">
        <v>44343</v>
      </c>
      <c r="C337" s="1" t="n">
        <v>45505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25590-2021</t>
        </is>
      </c>
      <c r="B338" s="1" t="n">
        <v>44343</v>
      </c>
      <c r="C338" s="1" t="n">
        <v>45505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25738-2021</t>
        </is>
      </c>
      <c r="B339" s="1" t="n">
        <v>44343</v>
      </c>
      <c r="C339" s="1" t="n">
        <v>45505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26439-2021</t>
        </is>
      </c>
      <c r="B340" s="1" t="n">
        <v>44348</v>
      </c>
      <c r="C340" s="1" t="n">
        <v>45505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26830-2021</t>
        </is>
      </c>
      <c r="B341" s="1" t="n">
        <v>44349</v>
      </c>
      <c r="C341" s="1" t="n">
        <v>45505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26834-2021</t>
        </is>
      </c>
      <c r="B342" s="1" t="n">
        <v>44349</v>
      </c>
      <c r="C342" s="1" t="n">
        <v>45505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27082-2021</t>
        </is>
      </c>
      <c r="B343" s="1" t="n">
        <v>44350</v>
      </c>
      <c r="C343" s="1" t="n">
        <v>45505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27468-2021</t>
        </is>
      </c>
      <c r="B344" s="1" t="n">
        <v>44351</v>
      </c>
      <c r="C344" s="1" t="n">
        <v>45505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28320-2021</t>
        </is>
      </c>
      <c r="B345" s="1" t="n">
        <v>44356</v>
      </c>
      <c r="C345" s="1" t="n">
        <v>45505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28329-2021</t>
        </is>
      </c>
      <c r="B346" s="1" t="n">
        <v>44356</v>
      </c>
      <c r="C346" s="1" t="n">
        <v>45505</v>
      </c>
      <c r="D346" t="inlineStr">
        <is>
          <t>VÄSTRA GÖTALANDS LÄN</t>
        </is>
      </c>
      <c r="E346" t="inlineStr">
        <is>
          <t>BENGTSFORS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28786-2021</t>
        </is>
      </c>
      <c r="B347" s="1" t="n">
        <v>44357</v>
      </c>
      <c r="C347" s="1" t="n">
        <v>45505</v>
      </c>
      <c r="D347" t="inlineStr">
        <is>
          <t>VÄSTRA GÖTALANDS LÄN</t>
        </is>
      </c>
      <c r="E347" t="inlineStr">
        <is>
          <t>BENGTSFORS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28779-2021</t>
        </is>
      </c>
      <c r="B348" s="1" t="n">
        <v>44357</v>
      </c>
      <c r="C348" s="1" t="n">
        <v>45505</v>
      </c>
      <c r="D348" t="inlineStr">
        <is>
          <t>VÄSTRA GÖTALANDS LÄN</t>
        </is>
      </c>
      <c r="E348" t="inlineStr">
        <is>
          <t>BENGTSFORS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28778-2021</t>
        </is>
      </c>
      <c r="B349" s="1" t="n">
        <v>44357</v>
      </c>
      <c r="C349" s="1" t="n">
        <v>45505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28782-2021</t>
        </is>
      </c>
      <c r="B350" s="1" t="n">
        <v>44357</v>
      </c>
      <c r="C350" s="1" t="n">
        <v>45505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29995-2021</t>
        </is>
      </c>
      <c r="B351" s="1" t="n">
        <v>44363</v>
      </c>
      <c r="C351" s="1" t="n">
        <v>45505</v>
      </c>
      <c r="D351" t="inlineStr">
        <is>
          <t>VÄSTRA GÖTALANDS LÄN</t>
        </is>
      </c>
      <c r="E351" t="inlineStr">
        <is>
          <t>BENGTSFORS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30935-2021</t>
        </is>
      </c>
      <c r="B352" s="1" t="n">
        <v>44365</v>
      </c>
      <c r="C352" s="1" t="n">
        <v>45505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31015-2021</t>
        </is>
      </c>
      <c r="B353" s="1" t="n">
        <v>44367</v>
      </c>
      <c r="C353" s="1" t="n">
        <v>45505</v>
      </c>
      <c r="D353" t="inlineStr">
        <is>
          <t>VÄSTRA GÖTALANDS LÄN</t>
        </is>
      </c>
      <c r="E353" t="inlineStr">
        <is>
          <t>BENGTSFORS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31196-2021</t>
        </is>
      </c>
      <c r="B354" s="1" t="n">
        <v>44368</v>
      </c>
      <c r="C354" s="1" t="n">
        <v>45505</v>
      </c>
      <c r="D354" t="inlineStr">
        <is>
          <t>VÄSTRA GÖTALANDS LÄN</t>
        </is>
      </c>
      <c r="E354" t="inlineStr">
        <is>
          <t>BENGTSFORS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45505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31214-2021</t>
        </is>
      </c>
      <c r="B356" s="1" t="n">
        <v>44368</v>
      </c>
      <c r="C356" s="1" t="n">
        <v>45505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31445-2021</t>
        </is>
      </c>
      <c r="B357" s="1" t="n">
        <v>44369</v>
      </c>
      <c r="C357" s="1" t="n">
        <v>45505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31426-2021</t>
        </is>
      </c>
      <c r="B358" s="1" t="n">
        <v>44369</v>
      </c>
      <c r="C358" s="1" t="n">
        <v>45505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31947-2021</t>
        </is>
      </c>
      <c r="B359" s="1" t="n">
        <v>44370</v>
      </c>
      <c r="C359" s="1" t="n">
        <v>45505</v>
      </c>
      <c r="D359" t="inlineStr">
        <is>
          <t>VÄSTRA GÖTALANDS LÄN</t>
        </is>
      </c>
      <c r="E359" t="inlineStr">
        <is>
          <t>BENGTSFORS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32239-2021</t>
        </is>
      </c>
      <c r="B360" s="1" t="n">
        <v>44371</v>
      </c>
      <c r="C360" s="1" t="n">
        <v>45505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32700-2021</t>
        </is>
      </c>
      <c r="B361" s="1" t="n">
        <v>44375</v>
      </c>
      <c r="C361" s="1" t="n">
        <v>45505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33285-2021</t>
        </is>
      </c>
      <c r="B362" s="1" t="n">
        <v>44377</v>
      </c>
      <c r="C362" s="1" t="n">
        <v>45505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33380-2021</t>
        </is>
      </c>
      <c r="B363" s="1" t="n">
        <v>44377</v>
      </c>
      <c r="C363" s="1" t="n">
        <v>45505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34056-2021</t>
        </is>
      </c>
      <c r="B364" s="1" t="n">
        <v>44379</v>
      </c>
      <c r="C364" s="1" t="n">
        <v>45505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34906-2021</t>
        </is>
      </c>
      <c r="B365" s="1" t="n">
        <v>44382</v>
      </c>
      <c r="C365" s="1" t="n">
        <v>45505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34863-2021</t>
        </is>
      </c>
      <c r="B366" s="1" t="n">
        <v>44383</v>
      </c>
      <c r="C366" s="1" t="n">
        <v>45505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35501-2021</t>
        </is>
      </c>
      <c r="B367" s="1" t="n">
        <v>44385</v>
      </c>
      <c r="C367" s="1" t="n">
        <v>45505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35753-2021</t>
        </is>
      </c>
      <c r="B368" s="1" t="n">
        <v>44385</v>
      </c>
      <c r="C368" s="1" t="n">
        <v>45505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36988-2021</t>
        </is>
      </c>
      <c r="B369" s="1" t="n">
        <v>44393</v>
      </c>
      <c r="C369" s="1" t="n">
        <v>45505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37857-2021</t>
        </is>
      </c>
      <c r="B370" s="1" t="n">
        <v>44403</v>
      </c>
      <c r="C370" s="1" t="n">
        <v>45505</v>
      </c>
      <c r="D370" t="inlineStr">
        <is>
          <t>VÄSTRA GÖTALANDS LÄN</t>
        </is>
      </c>
      <c r="E370" t="inlineStr">
        <is>
          <t>BENGTSFORS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38995-2021</t>
        </is>
      </c>
      <c r="B371" s="1" t="n">
        <v>44412</v>
      </c>
      <c r="C371" s="1" t="n">
        <v>45505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39105-2021</t>
        </is>
      </c>
      <c r="B372" s="1" t="n">
        <v>44412</v>
      </c>
      <c r="C372" s="1" t="n">
        <v>45505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39084-2021</t>
        </is>
      </c>
      <c r="B373" s="1" t="n">
        <v>44412</v>
      </c>
      <c r="C373" s="1" t="n">
        <v>45505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39795-2021</t>
        </is>
      </c>
      <c r="B374" s="1" t="n">
        <v>44417</v>
      </c>
      <c r="C374" s="1" t="n">
        <v>45505</v>
      </c>
      <c r="D374" t="inlineStr">
        <is>
          <t>VÄSTRA GÖTALANDS LÄN</t>
        </is>
      </c>
      <c r="E374" t="inlineStr">
        <is>
          <t>BENGTSFORS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39818-2021</t>
        </is>
      </c>
      <c r="B375" s="1" t="n">
        <v>44417</v>
      </c>
      <c r="C375" s="1" t="n">
        <v>45505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45505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40429-2021</t>
        </is>
      </c>
      <c r="B377" s="1" t="n">
        <v>44419</v>
      </c>
      <c r="C377" s="1" t="n">
        <v>45505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40954-2021</t>
        </is>
      </c>
      <c r="B378" s="1" t="n">
        <v>44421</v>
      </c>
      <c r="C378" s="1" t="n">
        <v>45505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42640-2021</t>
        </is>
      </c>
      <c r="B379" s="1" t="n">
        <v>44428</v>
      </c>
      <c r="C379" s="1" t="n">
        <v>45505</v>
      </c>
      <c r="D379" t="inlineStr">
        <is>
          <t>VÄSTRA GÖTALANDS LÄN</t>
        </is>
      </c>
      <c r="E379" t="inlineStr">
        <is>
          <t>BENGTSFORS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42869-2021</t>
        </is>
      </c>
      <c r="B380" s="1" t="n">
        <v>44428</v>
      </c>
      <c r="C380" s="1" t="n">
        <v>45505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43336-2021</t>
        </is>
      </c>
      <c r="B381" s="1" t="n">
        <v>44432</v>
      </c>
      <c r="C381" s="1" t="n">
        <v>45505</v>
      </c>
      <c r="D381" t="inlineStr">
        <is>
          <t>VÄSTRA GÖTALANDS LÄN</t>
        </is>
      </c>
      <c r="E381" t="inlineStr">
        <is>
          <t>BENGTSFORS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43696-2021</t>
        </is>
      </c>
      <c r="B382" s="1" t="n">
        <v>44433</v>
      </c>
      <c r="C382" s="1" t="n">
        <v>45505</v>
      </c>
      <c r="D382" t="inlineStr">
        <is>
          <t>VÄSTRA GÖTALANDS LÄN</t>
        </is>
      </c>
      <c r="E382" t="inlineStr">
        <is>
          <t>BENGTSFORS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44642-2021</t>
        </is>
      </c>
      <c r="B383" s="1" t="n">
        <v>44437</v>
      </c>
      <c r="C383" s="1" t="n">
        <v>45505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45420-2021</t>
        </is>
      </c>
      <c r="B384" s="1" t="n">
        <v>44440</v>
      </c>
      <c r="C384" s="1" t="n">
        <v>45505</v>
      </c>
      <c r="D384" t="inlineStr">
        <is>
          <t>VÄSTRA GÖTALANDS LÄN</t>
        </is>
      </c>
      <c r="E384" t="inlineStr">
        <is>
          <t>BENGTSFORS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45732-2021</t>
        </is>
      </c>
      <c r="B385" s="1" t="n">
        <v>44441</v>
      </c>
      <c r="C385" s="1" t="n">
        <v>45505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45842-2021</t>
        </is>
      </c>
      <c r="B386" s="1" t="n">
        <v>44441</v>
      </c>
      <c r="C386" s="1" t="n">
        <v>45505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45847-2021</t>
        </is>
      </c>
      <c r="B387" s="1" t="n">
        <v>44441</v>
      </c>
      <c r="C387" s="1" t="n">
        <v>45505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46285-2021</t>
        </is>
      </c>
      <c r="B388" s="1" t="n">
        <v>44442</v>
      </c>
      <c r="C388" s="1" t="n">
        <v>45505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46323-2021</t>
        </is>
      </c>
      <c r="B389" s="1" t="n">
        <v>44442</v>
      </c>
      <c r="C389" s="1" t="n">
        <v>45505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46825-2021</t>
        </is>
      </c>
      <c r="B390" s="1" t="n">
        <v>44446</v>
      </c>
      <c r="C390" s="1" t="n">
        <v>45505</v>
      </c>
      <c r="D390" t="inlineStr">
        <is>
          <t>VÄSTRA GÖTALANDS LÄN</t>
        </is>
      </c>
      <c r="E390" t="inlineStr">
        <is>
          <t>BENGTSFORS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47091-2021</t>
        </is>
      </c>
      <c r="B391" s="1" t="n">
        <v>44446</v>
      </c>
      <c r="C391" s="1" t="n">
        <v>45505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49747-2021</t>
        </is>
      </c>
      <c r="B392" s="1" t="n">
        <v>44453</v>
      </c>
      <c r="C392" s="1" t="n">
        <v>45505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49778-2021</t>
        </is>
      </c>
      <c r="B393" s="1" t="n">
        <v>44453</v>
      </c>
      <c r="C393" s="1" t="n">
        <v>45505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50837-2021</t>
        </is>
      </c>
      <c r="B394" s="1" t="n">
        <v>44460</v>
      </c>
      <c r="C394" s="1" t="n">
        <v>45505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45505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53800-2021</t>
        </is>
      </c>
      <c r="B396" s="1" t="n">
        <v>44469</v>
      </c>
      <c r="C396" s="1" t="n">
        <v>45505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54309-2021</t>
        </is>
      </c>
      <c r="B397" s="1" t="n">
        <v>44472</v>
      </c>
      <c r="C397" s="1" t="n">
        <v>45505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55523-2021</t>
        </is>
      </c>
      <c r="B398" s="1" t="n">
        <v>44475</v>
      </c>
      <c r="C398" s="1" t="n">
        <v>45505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55732-2021</t>
        </is>
      </c>
      <c r="B399" s="1" t="n">
        <v>44476</v>
      </c>
      <c r="C399" s="1" t="n">
        <v>45505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55900-2021</t>
        </is>
      </c>
      <c r="B400" s="1" t="n">
        <v>44476</v>
      </c>
      <c r="C400" s="1" t="n">
        <v>45505</v>
      </c>
      <c r="D400" t="inlineStr">
        <is>
          <t>VÄSTRA GÖTALANDS LÄN</t>
        </is>
      </c>
      <c r="E400" t="inlineStr">
        <is>
          <t>BENGTSFORS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45505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55880-2021</t>
        </is>
      </c>
      <c r="B402" s="1" t="n">
        <v>44476</v>
      </c>
      <c r="C402" s="1" t="n">
        <v>45505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55975-2021</t>
        </is>
      </c>
      <c r="B403" s="1" t="n">
        <v>44477</v>
      </c>
      <c r="C403" s="1" t="n">
        <v>45505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56460-2021</t>
        </is>
      </c>
      <c r="B404" s="1" t="n">
        <v>44480</v>
      </c>
      <c r="C404" s="1" t="n">
        <v>45505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58184-2021</t>
        </is>
      </c>
      <c r="B405" s="1" t="n">
        <v>44487</v>
      </c>
      <c r="C405" s="1" t="n">
        <v>45505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57998-2021</t>
        </is>
      </c>
      <c r="B406" s="1" t="n">
        <v>44487</v>
      </c>
      <c r="C406" s="1" t="n">
        <v>45505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58217-2021</t>
        </is>
      </c>
      <c r="B407" s="1" t="n">
        <v>44487</v>
      </c>
      <c r="C407" s="1" t="n">
        <v>45505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45505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58454-2021</t>
        </is>
      </c>
      <c r="B409" s="1" t="n">
        <v>44488</v>
      </c>
      <c r="C409" s="1" t="n">
        <v>45505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58506-2021</t>
        </is>
      </c>
      <c r="B410" s="1" t="n">
        <v>44488</v>
      </c>
      <c r="C410" s="1" t="n">
        <v>45505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58510-2021</t>
        </is>
      </c>
      <c r="B411" s="1" t="n">
        <v>44488</v>
      </c>
      <c r="C411" s="1" t="n">
        <v>45505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59856-2021</t>
        </is>
      </c>
      <c r="B412" s="1" t="n">
        <v>44494</v>
      </c>
      <c r="C412" s="1" t="n">
        <v>45505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60105-2021</t>
        </is>
      </c>
      <c r="B413" s="1" t="n">
        <v>44495</v>
      </c>
      <c r="C413" s="1" t="n">
        <v>45505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60491-2021</t>
        </is>
      </c>
      <c r="B414" s="1" t="n">
        <v>44496</v>
      </c>
      <c r="C414" s="1" t="n">
        <v>45505</v>
      </c>
      <c r="D414" t="inlineStr">
        <is>
          <t>VÄSTRA GÖTALANDS LÄN</t>
        </is>
      </c>
      <c r="E414" t="inlineStr">
        <is>
          <t>BENGTSFORS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60849-2021</t>
        </is>
      </c>
      <c r="B415" s="1" t="n">
        <v>44497</v>
      </c>
      <c r="C415" s="1" t="n">
        <v>45505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60975-2021</t>
        </is>
      </c>
      <c r="B416" s="1" t="n">
        <v>44497</v>
      </c>
      <c r="C416" s="1" t="n">
        <v>45505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61821-2021</t>
        </is>
      </c>
      <c r="B417" s="1" t="n">
        <v>44501</v>
      </c>
      <c r="C417" s="1" t="n">
        <v>45505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61820-2021</t>
        </is>
      </c>
      <c r="B418" s="1" t="n">
        <v>44501</v>
      </c>
      <c r="C418" s="1" t="n">
        <v>45505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62928-2021</t>
        </is>
      </c>
      <c r="B419" s="1" t="n">
        <v>44504</v>
      </c>
      <c r="C419" s="1" t="n">
        <v>45505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63068-2021</t>
        </is>
      </c>
      <c r="B420" s="1" t="n">
        <v>44505</v>
      </c>
      <c r="C420" s="1" t="n">
        <v>45505</v>
      </c>
      <c r="D420" t="inlineStr">
        <is>
          <t>VÄSTRA GÖTALANDS LÄN</t>
        </is>
      </c>
      <c r="E420" t="inlineStr">
        <is>
          <t>BENGTSFORS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63401-2021</t>
        </is>
      </c>
      <c r="B421" s="1" t="n">
        <v>44508</v>
      </c>
      <c r="C421" s="1" t="n">
        <v>45505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63485-2021</t>
        </is>
      </c>
      <c r="B422" s="1" t="n">
        <v>44508</v>
      </c>
      <c r="C422" s="1" t="n">
        <v>45505</v>
      </c>
      <c r="D422" t="inlineStr">
        <is>
          <t>VÄSTRA GÖTALANDS LÄN</t>
        </is>
      </c>
      <c r="E422" t="inlineStr">
        <is>
          <t>BENGTSFORS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63734-2021</t>
        </is>
      </c>
      <c r="B423" s="1" t="n">
        <v>44508</v>
      </c>
      <c r="C423" s="1" t="n">
        <v>45505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64837-2021</t>
        </is>
      </c>
      <c r="B424" s="1" t="n">
        <v>44512</v>
      </c>
      <c r="C424" s="1" t="n">
        <v>45505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64977-2021</t>
        </is>
      </c>
      <c r="B425" s="1" t="n">
        <v>44513</v>
      </c>
      <c r="C425" s="1" t="n">
        <v>45505</v>
      </c>
      <c r="D425" t="inlineStr">
        <is>
          <t>VÄSTRA GÖTALANDS LÄN</t>
        </is>
      </c>
      <c r="E425" t="inlineStr">
        <is>
          <t>BENGTSFORS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65674-2021</t>
        </is>
      </c>
      <c r="B426" s="1" t="n">
        <v>44516</v>
      </c>
      <c r="C426" s="1" t="n">
        <v>45505</v>
      </c>
      <c r="D426" t="inlineStr">
        <is>
          <t>VÄSTRA GÖTALANDS LÄN</t>
        </is>
      </c>
      <c r="E426" t="inlineStr">
        <is>
          <t>BENGTSFORS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65763-2021</t>
        </is>
      </c>
      <c r="B427" s="1" t="n">
        <v>44516</v>
      </c>
      <c r="C427" s="1" t="n">
        <v>45505</v>
      </c>
      <c r="D427" t="inlineStr">
        <is>
          <t>VÄSTRA GÖTALANDS LÄN</t>
        </is>
      </c>
      <c r="E427" t="inlineStr">
        <is>
          <t>BENGTSFORS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66391-2021</t>
        </is>
      </c>
      <c r="B428" s="1" t="n">
        <v>44518</v>
      </c>
      <c r="C428" s="1" t="n">
        <v>45505</v>
      </c>
      <c r="D428" t="inlineStr">
        <is>
          <t>VÄSTRA GÖTALANDS LÄN</t>
        </is>
      </c>
      <c r="E428" t="inlineStr">
        <is>
          <t>BENGTSFORS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67777-2021</t>
        </is>
      </c>
      <c r="B429" s="1" t="n">
        <v>44524</v>
      </c>
      <c r="C429" s="1" t="n">
        <v>45505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67916-2021</t>
        </is>
      </c>
      <c r="B430" s="1" t="n">
        <v>44525</v>
      </c>
      <c r="C430" s="1" t="n">
        <v>45505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67935-2021</t>
        </is>
      </c>
      <c r="B431" s="1" t="n">
        <v>44525</v>
      </c>
      <c r="C431" s="1" t="n">
        <v>45505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68144-2021</t>
        </is>
      </c>
      <c r="B432" s="1" t="n">
        <v>44526</v>
      </c>
      <c r="C432" s="1" t="n">
        <v>45505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71463-2021</t>
        </is>
      </c>
      <c r="B433" s="1" t="n">
        <v>44540</v>
      </c>
      <c r="C433" s="1" t="n">
        <v>45505</v>
      </c>
      <c r="D433" t="inlineStr">
        <is>
          <t>VÄSTRA GÖTALANDS LÄN</t>
        </is>
      </c>
      <c r="E433" t="inlineStr">
        <is>
          <t>BENGTSFORS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</v>
      </c>
      <c r="C434" s="1" t="n">
        <v>45505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72043-2021</t>
        </is>
      </c>
      <c r="B435" s="1" t="n">
        <v>44544</v>
      </c>
      <c r="C435" s="1" t="n">
        <v>45505</v>
      </c>
      <c r="D435" t="inlineStr">
        <is>
          <t>VÄSTRA GÖTALANDS LÄN</t>
        </is>
      </c>
      <c r="E435" t="inlineStr">
        <is>
          <t>BENGTSFORS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73200-2021</t>
        </is>
      </c>
      <c r="B436" s="1" t="n">
        <v>44550</v>
      </c>
      <c r="C436" s="1" t="n">
        <v>45505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73585-2021</t>
        </is>
      </c>
      <c r="B437" s="1" t="n">
        <v>44552</v>
      </c>
      <c r="C437" s="1" t="n">
        <v>45505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73594-2021</t>
        </is>
      </c>
      <c r="B438" s="1" t="n">
        <v>44552</v>
      </c>
      <c r="C438" s="1" t="n">
        <v>45505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73587-2021</t>
        </is>
      </c>
      <c r="B439" s="1" t="n">
        <v>44552</v>
      </c>
      <c r="C439" s="1" t="n">
        <v>45505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74225-2021</t>
        </is>
      </c>
      <c r="B440" s="1" t="n">
        <v>44558</v>
      </c>
      <c r="C440" s="1" t="n">
        <v>45505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224-2022</t>
        </is>
      </c>
      <c r="B441" s="1" t="n">
        <v>44564</v>
      </c>
      <c r="C441" s="1" t="n">
        <v>45505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726-2022</t>
        </is>
      </c>
      <c r="B442" s="1" t="n">
        <v>44566</v>
      </c>
      <c r="C442" s="1" t="n">
        <v>45505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928-2022</t>
        </is>
      </c>
      <c r="B443" s="1" t="n">
        <v>44571</v>
      </c>
      <c r="C443" s="1" t="n">
        <v>45505</v>
      </c>
      <c r="D443" t="inlineStr">
        <is>
          <t>VÄSTRA GÖTALANDS LÄN</t>
        </is>
      </c>
      <c r="E443" t="inlineStr">
        <is>
          <t>BENGTSFORS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1114-2022</t>
        </is>
      </c>
      <c r="B444" s="1" t="n">
        <v>44571</v>
      </c>
      <c r="C444" s="1" t="n">
        <v>45505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1220-2022</t>
        </is>
      </c>
      <c r="B445" s="1" t="n">
        <v>44572</v>
      </c>
      <c r="C445" s="1" t="n">
        <v>45505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1286-2022</t>
        </is>
      </c>
      <c r="B446" s="1" t="n">
        <v>44572</v>
      </c>
      <c r="C446" s="1" t="n">
        <v>45505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1315-2022</t>
        </is>
      </c>
      <c r="B447" s="1" t="n">
        <v>44572</v>
      </c>
      <c r="C447" s="1" t="n">
        <v>45505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1316-2022</t>
        </is>
      </c>
      <c r="B448" s="1" t="n">
        <v>44572</v>
      </c>
      <c r="C448" s="1" t="n">
        <v>45505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1577-2022</t>
        </is>
      </c>
      <c r="B449" s="1" t="n">
        <v>44573</v>
      </c>
      <c r="C449" s="1" t="n">
        <v>45505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1582-2022</t>
        </is>
      </c>
      <c r="B450" s="1" t="n">
        <v>44573</v>
      </c>
      <c r="C450" s="1" t="n">
        <v>45505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1592-2022</t>
        </is>
      </c>
      <c r="B451" s="1" t="n">
        <v>44573</v>
      </c>
      <c r="C451" s="1" t="n">
        <v>45505</v>
      </c>
      <c r="D451" t="inlineStr">
        <is>
          <t>VÄSTRA GÖTALANDS LÄN</t>
        </is>
      </c>
      <c r="E451" t="inlineStr">
        <is>
          <t>BENGTSFORS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1584-2022</t>
        </is>
      </c>
      <c r="B452" s="1" t="n">
        <v>44573</v>
      </c>
      <c r="C452" s="1" t="n">
        <v>45505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2296-2022</t>
        </is>
      </c>
      <c r="B453" s="1" t="n">
        <v>44578</v>
      </c>
      <c r="C453" s="1" t="n">
        <v>45505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2298-2022</t>
        </is>
      </c>
      <c r="B454" s="1" t="n">
        <v>44578</v>
      </c>
      <c r="C454" s="1" t="n">
        <v>45505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2956-2022</t>
        </is>
      </c>
      <c r="B455" s="1" t="n">
        <v>44581</v>
      </c>
      <c r="C455" s="1" t="n">
        <v>45505</v>
      </c>
      <c r="D455" t="inlineStr">
        <is>
          <t>VÄSTRA GÖTALANDS LÄN</t>
        </is>
      </c>
      <c r="E455" t="inlineStr">
        <is>
          <t>BENGTSFORS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3473-2022</t>
        </is>
      </c>
      <c r="B456" s="1" t="n">
        <v>44585</v>
      </c>
      <c r="C456" s="1" t="n">
        <v>45505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3486-2022</t>
        </is>
      </c>
      <c r="B457" s="1" t="n">
        <v>44585</v>
      </c>
      <c r="C457" s="1" t="n">
        <v>45505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4760-2022</t>
        </is>
      </c>
      <c r="B458" s="1" t="n">
        <v>44592</v>
      </c>
      <c r="C458" s="1" t="n">
        <v>45505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4918-2022</t>
        </is>
      </c>
      <c r="B459" s="1" t="n">
        <v>44593</v>
      </c>
      <c r="C459" s="1" t="n">
        <v>45505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5241-2022</t>
        </is>
      </c>
      <c r="B460" s="1" t="n">
        <v>44594</v>
      </c>
      <c r="C460" s="1" t="n">
        <v>45505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5585-2022</t>
        </is>
      </c>
      <c r="B461" s="1" t="n">
        <v>44595</v>
      </c>
      <c r="C461" s="1" t="n">
        <v>45505</v>
      </c>
      <c r="D461" t="inlineStr">
        <is>
          <t>VÄSTRA GÖTALANDS LÄN</t>
        </is>
      </c>
      <c r="E461" t="inlineStr">
        <is>
          <t>BENGTSFORS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5690-2022</t>
        </is>
      </c>
      <c r="B462" s="1" t="n">
        <v>44596</v>
      </c>
      <c r="C462" s="1" t="n">
        <v>45505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5687-2022</t>
        </is>
      </c>
      <c r="B463" s="1" t="n">
        <v>44596</v>
      </c>
      <c r="C463" s="1" t="n">
        <v>45505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5999-2022</t>
        </is>
      </c>
      <c r="B464" s="1" t="n">
        <v>44599</v>
      </c>
      <c r="C464" s="1" t="n">
        <v>45505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6114-2022</t>
        </is>
      </c>
      <c r="B465" s="1" t="n">
        <v>44599</v>
      </c>
      <c r="C465" s="1" t="n">
        <v>45505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6586-2022</t>
        </is>
      </c>
      <c r="B466" s="1" t="n">
        <v>44601</v>
      </c>
      <c r="C466" s="1" t="n">
        <v>45505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7064-2022</t>
        </is>
      </c>
      <c r="B467" s="1" t="n">
        <v>44603</v>
      </c>
      <c r="C467" s="1" t="n">
        <v>45505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7867-2022</t>
        </is>
      </c>
      <c r="B468" s="1" t="n">
        <v>44608</v>
      </c>
      <c r="C468" s="1" t="n">
        <v>45505</v>
      </c>
      <c r="D468" t="inlineStr">
        <is>
          <t>VÄSTRA GÖTALANDS LÄN</t>
        </is>
      </c>
      <c r="E468" t="inlineStr">
        <is>
          <t>BENGTSFORS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8639-2022</t>
        </is>
      </c>
      <c r="B469" s="1" t="n">
        <v>44613</v>
      </c>
      <c r="C469" s="1" t="n">
        <v>45505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8676-2022</t>
        </is>
      </c>
      <c r="B470" s="1" t="n">
        <v>44613</v>
      </c>
      <c r="C470" s="1" t="n">
        <v>45505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8530-2022</t>
        </is>
      </c>
      <c r="B471" s="1" t="n">
        <v>44613</v>
      </c>
      <c r="C471" s="1" t="n">
        <v>45505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9023-2022</t>
        </is>
      </c>
      <c r="B472" s="1" t="n">
        <v>44615</v>
      </c>
      <c r="C472" s="1" t="n">
        <v>45505</v>
      </c>
      <c r="D472" t="inlineStr">
        <is>
          <t>VÄSTRA GÖTALANDS LÄN</t>
        </is>
      </c>
      <c r="E472" t="inlineStr">
        <is>
          <t>BENGTSFORS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9097-2022</t>
        </is>
      </c>
      <c r="B473" s="1" t="n">
        <v>44615</v>
      </c>
      <c r="C473" s="1" t="n">
        <v>45505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9279-2022</t>
        </is>
      </c>
      <c r="B474" s="1" t="n">
        <v>44616</v>
      </c>
      <c r="C474" s="1" t="n">
        <v>45505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9523-2022</t>
        </is>
      </c>
      <c r="B475" s="1" t="n">
        <v>44617</v>
      </c>
      <c r="C475" s="1" t="n">
        <v>45505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9907-2022</t>
        </is>
      </c>
      <c r="B476" s="1" t="n">
        <v>44620</v>
      </c>
      <c r="C476" s="1" t="n">
        <v>45505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45505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10721-2022</t>
        </is>
      </c>
      <c r="B478" s="1" t="n">
        <v>44627</v>
      </c>
      <c r="C478" s="1" t="n">
        <v>45505</v>
      </c>
      <c r="D478" t="inlineStr">
        <is>
          <t>VÄSTRA GÖTALANDS LÄN</t>
        </is>
      </c>
      <c r="E478" t="inlineStr">
        <is>
          <t>BENGTSFORS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11066-2022</t>
        </is>
      </c>
      <c r="B479" s="1" t="n">
        <v>44628</v>
      </c>
      <c r="C479" s="1" t="n">
        <v>45505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11265-2022</t>
        </is>
      </c>
      <c r="B480" s="1" t="n">
        <v>44629</v>
      </c>
      <c r="C480" s="1" t="n">
        <v>45505</v>
      </c>
      <c r="D480" t="inlineStr">
        <is>
          <t>VÄSTRA GÖTALANDS LÄN</t>
        </is>
      </c>
      <c r="E480" t="inlineStr">
        <is>
          <t>BENGTSFORS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11350-2022</t>
        </is>
      </c>
      <c r="B481" s="1" t="n">
        <v>44630</v>
      </c>
      <c r="C481" s="1" t="n">
        <v>45505</v>
      </c>
      <c r="D481" t="inlineStr">
        <is>
          <t>VÄSTRA GÖTALANDS LÄN</t>
        </is>
      </c>
      <c r="E481" t="inlineStr">
        <is>
          <t>BENGTSFORS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11526-2022</t>
        </is>
      </c>
      <c r="B482" s="1" t="n">
        <v>44631</v>
      </c>
      <c r="C482" s="1" t="n">
        <v>45505</v>
      </c>
      <c r="D482" t="inlineStr">
        <is>
          <t>VÄSTRA GÖTALANDS LÄN</t>
        </is>
      </c>
      <c r="E482" t="inlineStr">
        <is>
          <t>BENGTSFORS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11792-2022</t>
        </is>
      </c>
      <c r="B483" s="1" t="n">
        <v>44634</v>
      </c>
      <c r="C483" s="1" t="n">
        <v>45505</v>
      </c>
      <c r="D483" t="inlineStr">
        <is>
          <t>VÄSTRA GÖTALANDS LÄN</t>
        </is>
      </c>
      <c r="E483" t="inlineStr">
        <is>
          <t>BENGTSFORS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11721-2022</t>
        </is>
      </c>
      <c r="B484" s="1" t="n">
        <v>44634</v>
      </c>
      <c r="C484" s="1" t="n">
        <v>45505</v>
      </c>
      <c r="D484" t="inlineStr">
        <is>
          <t>VÄSTRA GÖTALANDS LÄN</t>
        </is>
      </c>
      <c r="E484" t="inlineStr">
        <is>
          <t>BENGTSFORS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11720-2022</t>
        </is>
      </c>
      <c r="B485" s="1" t="n">
        <v>44634</v>
      </c>
      <c r="C485" s="1" t="n">
        <v>45505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45505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12670-2022</t>
        </is>
      </c>
      <c r="B487" s="1" t="n">
        <v>44641</v>
      </c>
      <c r="C487" s="1" t="n">
        <v>45505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12799-2022</t>
        </is>
      </c>
      <c r="B488" s="1" t="n">
        <v>44642</v>
      </c>
      <c r="C488" s="1" t="n">
        <v>45505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13655-2022</t>
        </is>
      </c>
      <c r="B489" s="1" t="n">
        <v>44648</v>
      </c>
      <c r="C489" s="1" t="n">
        <v>45505</v>
      </c>
      <c r="D489" t="inlineStr">
        <is>
          <t>VÄSTRA GÖTALANDS LÄN</t>
        </is>
      </c>
      <c r="E489" t="inlineStr">
        <is>
          <t>BENGTSFORS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13673-2022</t>
        </is>
      </c>
      <c r="B490" s="1" t="n">
        <v>44648</v>
      </c>
      <c r="C490" s="1" t="n">
        <v>45505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13669-2022</t>
        </is>
      </c>
      <c r="B491" s="1" t="n">
        <v>44648</v>
      </c>
      <c r="C491" s="1" t="n">
        <v>45505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13665-2022</t>
        </is>
      </c>
      <c r="B492" s="1" t="n">
        <v>44648</v>
      </c>
      <c r="C492" s="1" t="n">
        <v>45505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13775-2022</t>
        </is>
      </c>
      <c r="B493" s="1" t="n">
        <v>44649</v>
      </c>
      <c r="C493" s="1" t="n">
        <v>45505</v>
      </c>
      <c r="D493" t="inlineStr">
        <is>
          <t>VÄSTRA GÖTALANDS LÄN</t>
        </is>
      </c>
      <c r="E493" t="inlineStr">
        <is>
          <t>BENGTSFORS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13741-2022</t>
        </is>
      </c>
      <c r="B494" s="1" t="n">
        <v>44649</v>
      </c>
      <c r="C494" s="1" t="n">
        <v>45505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13810-2022</t>
        </is>
      </c>
      <c r="B495" s="1" t="n">
        <v>44649</v>
      </c>
      <c r="C495" s="1" t="n">
        <v>45505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14617-2022</t>
        </is>
      </c>
      <c r="B496" s="1" t="n">
        <v>44655</v>
      </c>
      <c r="C496" s="1" t="n">
        <v>45505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16648-2022</t>
        </is>
      </c>
      <c r="B497" s="1" t="n">
        <v>44672</v>
      </c>
      <c r="C497" s="1" t="n">
        <v>45505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16936-2022</t>
        </is>
      </c>
      <c r="B498" s="1" t="n">
        <v>44676</v>
      </c>
      <c r="C498" s="1" t="n">
        <v>45505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17842-2022</t>
        </is>
      </c>
      <c r="B499" s="1" t="n">
        <v>44683</v>
      </c>
      <c r="C499" s="1" t="n">
        <v>45505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18280-2022</t>
        </is>
      </c>
      <c r="B500" s="1" t="n">
        <v>44685</v>
      </c>
      <c r="C500" s="1" t="n">
        <v>45505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18667-2022</t>
        </is>
      </c>
      <c r="B501" s="1" t="n">
        <v>44687</v>
      </c>
      <c r="C501" s="1" t="n">
        <v>45505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19145-2022</t>
        </is>
      </c>
      <c r="B502" s="1" t="n">
        <v>44691</v>
      </c>
      <c r="C502" s="1" t="n">
        <v>45505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19294-2022</t>
        </is>
      </c>
      <c r="B503" s="1" t="n">
        <v>44692</v>
      </c>
      <c r="C503" s="1" t="n">
        <v>45505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19291-2022</t>
        </is>
      </c>
      <c r="B504" s="1" t="n">
        <v>44692</v>
      </c>
      <c r="C504" s="1" t="n">
        <v>45505</v>
      </c>
      <c r="D504" t="inlineStr">
        <is>
          <t>VÄSTRA GÖTALANDS LÄN</t>
        </is>
      </c>
      <c r="E504" t="inlineStr">
        <is>
          <t>BENGTSFORS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19293-2022</t>
        </is>
      </c>
      <c r="B505" s="1" t="n">
        <v>44692</v>
      </c>
      <c r="C505" s="1" t="n">
        <v>45505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19298-2022</t>
        </is>
      </c>
      <c r="B506" s="1" t="n">
        <v>44692</v>
      </c>
      <c r="C506" s="1" t="n">
        <v>45505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19296-2022</t>
        </is>
      </c>
      <c r="B507" s="1" t="n">
        <v>44692</v>
      </c>
      <c r="C507" s="1" t="n">
        <v>45505</v>
      </c>
      <c r="D507" t="inlineStr">
        <is>
          <t>VÄSTRA GÖTALANDS LÄN</t>
        </is>
      </c>
      <c r="E507" t="inlineStr">
        <is>
          <t>BENGTSFORS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19716-2022</t>
        </is>
      </c>
      <c r="B508" s="1" t="n">
        <v>44694</v>
      </c>
      <c r="C508" s="1" t="n">
        <v>45505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20203-2022</t>
        </is>
      </c>
      <c r="B509" s="1" t="n">
        <v>44698</v>
      </c>
      <c r="C509" s="1" t="n">
        <v>45505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20207-2022</t>
        </is>
      </c>
      <c r="B510" s="1" t="n">
        <v>44698</v>
      </c>
      <c r="C510" s="1" t="n">
        <v>45505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20946-2022</t>
        </is>
      </c>
      <c r="B511" s="1" t="n">
        <v>44702</v>
      </c>
      <c r="C511" s="1" t="n">
        <v>45505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21122-2022</t>
        </is>
      </c>
      <c r="B512" s="1" t="n">
        <v>44704</v>
      </c>
      <c r="C512" s="1" t="n">
        <v>45505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21172-2022</t>
        </is>
      </c>
      <c r="B513" s="1" t="n">
        <v>44704</v>
      </c>
      <c r="C513" s="1" t="n">
        <v>45505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21559-2022</t>
        </is>
      </c>
      <c r="B514" s="1" t="n">
        <v>44706</v>
      </c>
      <c r="C514" s="1" t="n">
        <v>45505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21552-2022</t>
        </is>
      </c>
      <c r="B515" s="1" t="n">
        <v>44706</v>
      </c>
      <c r="C515" s="1" t="n">
        <v>45505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22496-2022</t>
        </is>
      </c>
      <c r="B516" s="1" t="n">
        <v>44713</v>
      </c>
      <c r="C516" s="1" t="n">
        <v>45505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22578-2022</t>
        </is>
      </c>
      <c r="B517" s="1" t="n">
        <v>44714</v>
      </c>
      <c r="C517" s="1" t="n">
        <v>45505</v>
      </c>
      <c r="D517" t="inlineStr">
        <is>
          <t>VÄSTRA GÖTALANDS LÄN</t>
        </is>
      </c>
      <c r="E517" t="inlineStr">
        <is>
          <t>BENGTSFORS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22704-2022</t>
        </is>
      </c>
      <c r="B518" s="1" t="n">
        <v>44714</v>
      </c>
      <c r="C518" s="1" t="n">
        <v>45505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24185-2022</t>
        </is>
      </c>
      <c r="B519" s="1" t="n">
        <v>44725</v>
      </c>
      <c r="C519" s="1" t="n">
        <v>45505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24966-2022</t>
        </is>
      </c>
      <c r="B520" s="1" t="n">
        <v>44728</v>
      </c>
      <c r="C520" s="1" t="n">
        <v>45505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27440-2022</t>
        </is>
      </c>
      <c r="B521" s="1" t="n">
        <v>44742</v>
      </c>
      <c r="C521" s="1" t="n">
        <v>45505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27833-2022</t>
        </is>
      </c>
      <c r="B522" s="1" t="n">
        <v>44743</v>
      </c>
      <c r="C522" s="1" t="n">
        <v>45505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28763-2022</t>
        </is>
      </c>
      <c r="B523" s="1" t="n">
        <v>44749</v>
      </c>
      <c r="C523" s="1" t="n">
        <v>45505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29229-2022</t>
        </is>
      </c>
      <c r="B524" s="1" t="n">
        <v>44750</v>
      </c>
      <c r="C524" s="1" t="n">
        <v>45505</v>
      </c>
      <c r="D524" t="inlineStr">
        <is>
          <t>VÄSTRA GÖTALANDS LÄN</t>
        </is>
      </c>
      <c r="E524" t="inlineStr">
        <is>
          <t>BENGTSFORS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29226-2022</t>
        </is>
      </c>
      <c r="B525" s="1" t="n">
        <v>44750</v>
      </c>
      <c r="C525" s="1" t="n">
        <v>45505</v>
      </c>
      <c r="D525" t="inlineStr">
        <is>
          <t>VÄSTRA GÖTALANDS LÄN</t>
        </is>
      </c>
      <c r="E525" t="inlineStr">
        <is>
          <t>BENGTSFORS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29214-2022</t>
        </is>
      </c>
      <c r="B526" s="1" t="n">
        <v>44750</v>
      </c>
      <c r="C526" s="1" t="n">
        <v>45505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29162-2022</t>
        </is>
      </c>
      <c r="B527" s="1" t="n">
        <v>44750</v>
      </c>
      <c r="C527" s="1" t="n">
        <v>45505</v>
      </c>
      <c r="D527" t="inlineStr">
        <is>
          <t>VÄSTRA GÖTALANDS LÄN</t>
        </is>
      </c>
      <c r="E527" t="inlineStr">
        <is>
          <t>BENGTSFORS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29696-2022</t>
        </is>
      </c>
      <c r="B528" s="1" t="n">
        <v>44755</v>
      </c>
      <c r="C528" s="1" t="n">
        <v>45505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31015-2022</t>
        </is>
      </c>
      <c r="B529" s="1" t="n">
        <v>44768</v>
      </c>
      <c r="C529" s="1" t="n">
        <v>45505</v>
      </c>
      <c r="D529" t="inlineStr">
        <is>
          <t>VÄSTRA GÖTALANDS LÄN</t>
        </is>
      </c>
      <c r="E529" t="inlineStr">
        <is>
          <t>BENGTSFORS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31110-2022</t>
        </is>
      </c>
      <c r="B530" s="1" t="n">
        <v>44769</v>
      </c>
      <c r="C530" s="1" t="n">
        <v>45505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45505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31707-2022</t>
        </is>
      </c>
      <c r="B532" s="1" t="n">
        <v>44776</v>
      </c>
      <c r="C532" s="1" t="n">
        <v>45505</v>
      </c>
      <c r="D532" t="inlineStr">
        <is>
          <t>VÄSTRA GÖTALANDS LÄN</t>
        </is>
      </c>
      <c r="E532" t="inlineStr">
        <is>
          <t>BENGTSFORS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31712-2022</t>
        </is>
      </c>
      <c r="B533" s="1" t="n">
        <v>44776</v>
      </c>
      <c r="C533" s="1" t="n">
        <v>45505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31715-2022</t>
        </is>
      </c>
      <c r="B534" s="1" t="n">
        <v>44776</v>
      </c>
      <c r="C534" s="1" t="n">
        <v>45505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32284-2022</t>
        </is>
      </c>
      <c r="B535" s="1" t="n">
        <v>44781</v>
      </c>
      <c r="C535" s="1" t="n">
        <v>45505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33419-2022</t>
        </is>
      </c>
      <c r="B536" s="1" t="n">
        <v>44788</v>
      </c>
      <c r="C536" s="1" t="n">
        <v>45505</v>
      </c>
      <c r="D536" t="inlineStr">
        <is>
          <t>VÄSTRA GÖTALANDS LÄN</t>
        </is>
      </c>
      <c r="E536" t="inlineStr">
        <is>
          <t>BENGTSFORS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33950-2022</t>
        </is>
      </c>
      <c r="B537" s="1" t="n">
        <v>44790</v>
      </c>
      <c r="C537" s="1" t="n">
        <v>45505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33891-2022</t>
        </is>
      </c>
      <c r="B538" s="1" t="n">
        <v>44790</v>
      </c>
      <c r="C538" s="1" t="n">
        <v>45505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35301-2022</t>
        </is>
      </c>
      <c r="B539" s="1" t="n">
        <v>44798</v>
      </c>
      <c r="C539" s="1" t="n">
        <v>45505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36005-2022</t>
        </is>
      </c>
      <c r="B540" s="1" t="n">
        <v>44802</v>
      </c>
      <c r="C540" s="1" t="n">
        <v>45505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37177-2022</t>
        </is>
      </c>
      <c r="B541" s="1" t="n">
        <v>44806</v>
      </c>
      <c r="C541" s="1" t="n">
        <v>45505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37196-2022</t>
        </is>
      </c>
      <c r="B542" s="1" t="n">
        <v>44806</v>
      </c>
      <c r="C542" s="1" t="n">
        <v>45505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37199-2022</t>
        </is>
      </c>
      <c r="B543" s="1" t="n">
        <v>44806</v>
      </c>
      <c r="C543" s="1" t="n">
        <v>45505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37707-2022</t>
        </is>
      </c>
      <c r="B544" s="1" t="n">
        <v>44810</v>
      </c>
      <c r="C544" s="1" t="n">
        <v>45505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38247-2022</t>
        </is>
      </c>
      <c r="B545" s="1" t="n">
        <v>44812</v>
      </c>
      <c r="C545" s="1" t="n">
        <v>45505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40295-2022</t>
        </is>
      </c>
      <c r="B546" s="1" t="n">
        <v>44821</v>
      </c>
      <c r="C546" s="1" t="n">
        <v>45505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41314-2022</t>
        </is>
      </c>
      <c r="B547" s="1" t="n">
        <v>44826</v>
      </c>
      <c r="C547" s="1" t="n">
        <v>45505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41512-2022</t>
        </is>
      </c>
      <c r="B548" s="1" t="n">
        <v>44827</v>
      </c>
      <c r="C548" s="1" t="n">
        <v>45505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41521-2022</t>
        </is>
      </c>
      <c r="B549" s="1" t="n">
        <v>44827</v>
      </c>
      <c r="C549" s="1" t="n">
        <v>45505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45505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42042-2022</t>
        </is>
      </c>
      <c r="B551" s="1" t="n">
        <v>44830</v>
      </c>
      <c r="C551" s="1" t="n">
        <v>45505</v>
      </c>
      <c r="D551" t="inlineStr">
        <is>
          <t>VÄSTRA GÖTALANDS LÄN</t>
        </is>
      </c>
      <c r="E551" t="inlineStr">
        <is>
          <t>BENGTSFORS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42213-2022</t>
        </is>
      </c>
      <c r="B552" s="1" t="n">
        <v>44830</v>
      </c>
      <c r="C552" s="1" t="n">
        <v>45505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42409-2022</t>
        </is>
      </c>
      <c r="B553" s="1" t="n">
        <v>44831</v>
      </c>
      <c r="C553" s="1" t="n">
        <v>45505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42471-2022</t>
        </is>
      </c>
      <c r="B554" s="1" t="n">
        <v>44831</v>
      </c>
      <c r="C554" s="1" t="n">
        <v>45505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45505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42813-2022</t>
        </is>
      </c>
      <c r="B556" s="1" t="n">
        <v>44832</v>
      </c>
      <c r="C556" s="1" t="n">
        <v>45505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43277-2022</t>
        </is>
      </c>
      <c r="B557" s="1" t="n">
        <v>44834</v>
      </c>
      <c r="C557" s="1" t="n">
        <v>45505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43495-2022</t>
        </is>
      </c>
      <c r="B558" s="1" t="n">
        <v>44834</v>
      </c>
      <c r="C558" s="1" t="n">
        <v>45505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43487-2022</t>
        </is>
      </c>
      <c r="B559" s="1" t="n">
        <v>44834</v>
      </c>
      <c r="C559" s="1" t="n">
        <v>45505</v>
      </c>
      <c r="D559" t="inlineStr">
        <is>
          <t>VÄSTRA GÖTALANDS LÄN</t>
        </is>
      </c>
      <c r="E559" t="inlineStr">
        <is>
          <t>BENGTSFORS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</v>
      </c>
      <c r="C560" s="1" t="n">
        <v>45505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43841-2022</t>
        </is>
      </c>
      <c r="B561" s="1" t="n">
        <v>44838</v>
      </c>
      <c r="C561" s="1" t="n">
        <v>45505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44356-2022</t>
        </is>
      </c>
      <c r="B562" s="1" t="n">
        <v>44839</v>
      </c>
      <c r="C562" s="1" t="n">
        <v>45505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44320-2022</t>
        </is>
      </c>
      <c r="B563" s="1" t="n">
        <v>44839</v>
      </c>
      <c r="C563" s="1" t="n">
        <v>45505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44876-2022</t>
        </is>
      </c>
      <c r="B564" s="1" t="n">
        <v>44840</v>
      </c>
      <c r="C564" s="1" t="n">
        <v>45505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45392-2022</t>
        </is>
      </c>
      <c r="B565" s="1" t="n">
        <v>44844</v>
      </c>
      <c r="C565" s="1" t="n">
        <v>45505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45503-2022</t>
        </is>
      </c>
      <c r="B566" s="1" t="n">
        <v>44845</v>
      </c>
      <c r="C566" s="1" t="n">
        <v>45505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45500-2022</t>
        </is>
      </c>
      <c r="B567" s="1" t="n">
        <v>44845</v>
      </c>
      <c r="C567" s="1" t="n">
        <v>45505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46723-2022</t>
        </is>
      </c>
      <c r="B568" s="1" t="n">
        <v>44851</v>
      </c>
      <c r="C568" s="1" t="n">
        <v>45505</v>
      </c>
      <c r="D568" t="inlineStr">
        <is>
          <t>VÄSTRA GÖTALANDS LÄN</t>
        </is>
      </c>
      <c r="E568" t="inlineStr">
        <is>
          <t>BENGTSFORS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46856-2022</t>
        </is>
      </c>
      <c r="B569" s="1" t="n">
        <v>44851</v>
      </c>
      <c r="C569" s="1" t="n">
        <v>45505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47140-2022</t>
        </is>
      </c>
      <c r="B570" s="1" t="n">
        <v>44852</v>
      </c>
      <c r="C570" s="1" t="n">
        <v>45505</v>
      </c>
      <c r="D570" t="inlineStr">
        <is>
          <t>VÄSTRA GÖTALANDS LÄN</t>
        </is>
      </c>
      <c r="E570" t="inlineStr">
        <is>
          <t>BENGTSFORS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47383-2022</t>
        </is>
      </c>
      <c r="B571" s="1" t="n">
        <v>44853</v>
      </c>
      <c r="C571" s="1" t="n">
        <v>45505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47892-2022</t>
        </is>
      </c>
      <c r="B572" s="1" t="n">
        <v>44855</v>
      </c>
      <c r="C572" s="1" t="n">
        <v>45505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48301-2022</t>
        </is>
      </c>
      <c r="B573" s="1" t="n">
        <v>44858</v>
      </c>
      <c r="C573" s="1" t="n">
        <v>45505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49385-2022</t>
        </is>
      </c>
      <c r="B574" s="1" t="n">
        <v>44861</v>
      </c>
      <c r="C574" s="1" t="n">
        <v>45505</v>
      </c>
      <c r="D574" t="inlineStr">
        <is>
          <t>VÄSTRA GÖTALANDS LÄN</t>
        </is>
      </c>
      <c r="E574" t="inlineStr">
        <is>
          <t>BENGTSFORS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</v>
      </c>
      <c r="C575" s="1" t="n">
        <v>45505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49409-2022</t>
        </is>
      </c>
      <c r="B576" s="1" t="n">
        <v>44861</v>
      </c>
      <c r="C576" s="1" t="n">
        <v>45505</v>
      </c>
      <c r="D576" t="inlineStr">
        <is>
          <t>VÄSTRA GÖTALANDS LÄN</t>
        </is>
      </c>
      <c r="E576" t="inlineStr">
        <is>
          <t>BENGTSFORS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50609-2022</t>
        </is>
      </c>
      <c r="B577" s="1" t="n">
        <v>44866</v>
      </c>
      <c r="C577" s="1" t="n">
        <v>45505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50610-2022</t>
        </is>
      </c>
      <c r="B578" s="1" t="n">
        <v>44866</v>
      </c>
      <c r="C578" s="1" t="n">
        <v>45505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51403-2022</t>
        </is>
      </c>
      <c r="B579" s="1" t="n">
        <v>44866</v>
      </c>
      <c r="C579" s="1" t="n">
        <v>45505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50841-2022</t>
        </is>
      </c>
      <c r="B580" s="1" t="n">
        <v>44867</v>
      </c>
      <c r="C580" s="1" t="n">
        <v>45505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51053-2022</t>
        </is>
      </c>
      <c r="B581" s="1" t="n">
        <v>44868</v>
      </c>
      <c r="C581" s="1" t="n">
        <v>45505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52066-2022</t>
        </is>
      </c>
      <c r="B582" s="1" t="n">
        <v>44868</v>
      </c>
      <c r="C582" s="1" t="n">
        <v>45505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51336-2022</t>
        </is>
      </c>
      <c r="B583" s="1" t="n">
        <v>44869</v>
      </c>
      <c r="C583" s="1" t="n">
        <v>45505</v>
      </c>
      <c r="D583" t="inlineStr">
        <is>
          <t>VÄSTRA GÖTALANDS LÄN</t>
        </is>
      </c>
      <c r="E583" t="inlineStr">
        <is>
          <t>BENGTSFORS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</v>
      </c>
      <c r="C584" s="1" t="n">
        <v>45505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52614-2022</t>
        </is>
      </c>
      <c r="B585" s="1" t="n">
        <v>44874</v>
      </c>
      <c r="C585" s="1" t="n">
        <v>45505</v>
      </c>
      <c r="D585" t="inlineStr">
        <is>
          <t>VÄSTRA GÖTALANDS LÄN</t>
        </is>
      </c>
      <c r="E585" t="inlineStr">
        <is>
          <t>BENGTSFORS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52902-2022</t>
        </is>
      </c>
      <c r="B586" s="1" t="n">
        <v>44875</v>
      </c>
      <c r="C586" s="1" t="n">
        <v>45505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53197-2022</t>
        </is>
      </c>
      <c r="B587" s="1" t="n">
        <v>44876</v>
      </c>
      <c r="C587" s="1" t="n">
        <v>45505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53198-2022</t>
        </is>
      </c>
      <c r="B588" s="1" t="n">
        <v>44876</v>
      </c>
      <c r="C588" s="1" t="n">
        <v>45505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54476-2022</t>
        </is>
      </c>
      <c r="B589" s="1" t="n">
        <v>44876</v>
      </c>
      <c r="C589" s="1" t="n">
        <v>45505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55409-2022</t>
        </is>
      </c>
      <c r="B590" s="1" t="n">
        <v>44887</v>
      </c>
      <c r="C590" s="1" t="n">
        <v>45505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56090-2022</t>
        </is>
      </c>
      <c r="B591" s="1" t="n">
        <v>44887</v>
      </c>
      <c r="C591" s="1" t="n">
        <v>45505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55694-2022</t>
        </is>
      </c>
      <c r="B592" s="1" t="n">
        <v>44888</v>
      </c>
      <c r="C592" s="1" t="n">
        <v>45505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55998-2022</t>
        </is>
      </c>
      <c r="B593" s="1" t="n">
        <v>44889</v>
      </c>
      <c r="C593" s="1" t="n">
        <v>45505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56026-2022</t>
        </is>
      </c>
      <c r="B594" s="1" t="n">
        <v>44889</v>
      </c>
      <c r="C594" s="1" t="n">
        <v>45505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56001-2022</t>
        </is>
      </c>
      <c r="B595" s="1" t="n">
        <v>44889</v>
      </c>
      <c r="C595" s="1" t="n">
        <v>45505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56681-2022</t>
        </is>
      </c>
      <c r="B596" s="1" t="n">
        <v>44893</v>
      </c>
      <c r="C596" s="1" t="n">
        <v>45505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56817-2022</t>
        </is>
      </c>
      <c r="B597" s="1" t="n">
        <v>44894</v>
      </c>
      <c r="C597" s="1" t="n">
        <v>45505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56978-2022</t>
        </is>
      </c>
      <c r="B598" s="1" t="n">
        <v>44894</v>
      </c>
      <c r="C598" s="1" t="n">
        <v>45505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57202-2022</t>
        </is>
      </c>
      <c r="B599" s="1" t="n">
        <v>44895</v>
      </c>
      <c r="C599" s="1" t="n">
        <v>45505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58265-2022</t>
        </is>
      </c>
      <c r="B600" s="1" t="n">
        <v>44901</v>
      </c>
      <c r="C600" s="1" t="n">
        <v>45505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58797-2022</t>
        </is>
      </c>
      <c r="B601" s="1" t="n">
        <v>44903</v>
      </c>
      <c r="C601" s="1" t="n">
        <v>45505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58996-2022</t>
        </is>
      </c>
      <c r="B602" s="1" t="n">
        <v>44903</v>
      </c>
      <c r="C602" s="1" t="n">
        <v>45505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59285-2022</t>
        </is>
      </c>
      <c r="B603" s="1" t="n">
        <v>44904</v>
      </c>
      <c r="C603" s="1" t="n">
        <v>45505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59446-2022</t>
        </is>
      </c>
      <c r="B604" s="1" t="n">
        <v>44907</v>
      </c>
      <c r="C604" s="1" t="n">
        <v>45505</v>
      </c>
      <c r="D604" t="inlineStr">
        <is>
          <t>VÄSTRA GÖTALANDS LÄN</t>
        </is>
      </c>
      <c r="E604" t="inlineStr">
        <is>
          <t>BENGTSFORS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59615-2022</t>
        </is>
      </c>
      <c r="B605" s="1" t="n">
        <v>44907</v>
      </c>
      <c r="C605" s="1" t="n">
        <v>45505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59616-2022</t>
        </is>
      </c>
      <c r="B606" s="1" t="n">
        <v>44907</v>
      </c>
      <c r="C606" s="1" t="n">
        <v>45505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60006-2022</t>
        </is>
      </c>
      <c r="B607" s="1" t="n">
        <v>44909</v>
      </c>
      <c r="C607" s="1" t="n">
        <v>45505</v>
      </c>
      <c r="D607" t="inlineStr">
        <is>
          <t>VÄSTRA GÖTALANDS LÄN</t>
        </is>
      </c>
      <c r="E607" t="inlineStr">
        <is>
          <t>BENGTSFORS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60494-2022</t>
        </is>
      </c>
      <c r="B608" s="1" t="n">
        <v>44911</v>
      </c>
      <c r="C608" s="1" t="n">
        <v>45505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61788-2022</t>
        </is>
      </c>
      <c r="B609" s="1" t="n">
        <v>44911</v>
      </c>
      <c r="C609" s="1" t="n">
        <v>45505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61823-2022</t>
        </is>
      </c>
      <c r="B610" s="1" t="n">
        <v>44911</v>
      </c>
      <c r="C610" s="1" t="n">
        <v>45505</v>
      </c>
      <c r="D610" t="inlineStr">
        <is>
          <t>VÄSTRA GÖTALANDS LÄN</t>
        </is>
      </c>
      <c r="E610" t="inlineStr">
        <is>
          <t>BENGTSFORS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61759-2022</t>
        </is>
      </c>
      <c r="B611" s="1" t="n">
        <v>44911</v>
      </c>
      <c r="C611" s="1" t="n">
        <v>45505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60926-2022</t>
        </is>
      </c>
      <c r="B612" s="1" t="n">
        <v>44914</v>
      </c>
      <c r="C612" s="1" t="n">
        <v>45505</v>
      </c>
      <c r="D612" t="inlineStr">
        <is>
          <t>VÄSTRA GÖTALANDS LÄN</t>
        </is>
      </c>
      <c r="E612" t="inlineStr">
        <is>
          <t>BENGTSFORS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62316-2022</t>
        </is>
      </c>
      <c r="B613" s="1" t="n">
        <v>44916</v>
      </c>
      <c r="C613" s="1" t="n">
        <v>45505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61758-2022</t>
        </is>
      </c>
      <c r="B614" s="1" t="n">
        <v>44917</v>
      </c>
      <c r="C614" s="1" t="n">
        <v>45505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61943-2022</t>
        </is>
      </c>
      <c r="B615" s="1" t="n">
        <v>44918</v>
      </c>
      <c r="C615" s="1" t="n">
        <v>45505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61-2023</t>
        </is>
      </c>
      <c r="B616" s="1" t="n">
        <v>44928</v>
      </c>
      <c r="C616" s="1" t="n">
        <v>45505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45505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1046-2023</t>
        </is>
      </c>
      <c r="B618" s="1" t="n">
        <v>44929</v>
      </c>
      <c r="C618" s="1" t="n">
        <v>45505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669-2023</t>
        </is>
      </c>
      <c r="B619" s="1" t="n">
        <v>44930</v>
      </c>
      <c r="C619" s="1" t="n">
        <v>45505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1192-2023</t>
        </is>
      </c>
      <c r="B620" s="1" t="n">
        <v>44935</v>
      </c>
      <c r="C620" s="1" t="n">
        <v>45505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1190-2023</t>
        </is>
      </c>
      <c r="B621" s="1" t="n">
        <v>44935</v>
      </c>
      <c r="C621" s="1" t="n">
        <v>45505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1191-2023</t>
        </is>
      </c>
      <c r="B622" s="1" t="n">
        <v>44935</v>
      </c>
      <c r="C622" s="1" t="n">
        <v>45505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2524-2023</t>
        </is>
      </c>
      <c r="B623" s="1" t="n">
        <v>44943</v>
      </c>
      <c r="C623" s="1" t="n">
        <v>45505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2530-2023</t>
        </is>
      </c>
      <c r="B624" s="1" t="n">
        <v>44943</v>
      </c>
      <c r="C624" s="1" t="n">
        <v>45505</v>
      </c>
      <c r="D624" t="inlineStr">
        <is>
          <t>VÄSTRA GÖTALANDS LÄN</t>
        </is>
      </c>
      <c r="E624" t="inlineStr">
        <is>
          <t>BENGTSFORS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2570-2023</t>
        </is>
      </c>
      <c r="B625" s="1" t="n">
        <v>44943</v>
      </c>
      <c r="C625" s="1" t="n">
        <v>45505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2517-2023</t>
        </is>
      </c>
      <c r="B626" s="1" t="n">
        <v>44943</v>
      </c>
      <c r="C626" s="1" t="n">
        <v>45505</v>
      </c>
      <c r="D626" t="inlineStr">
        <is>
          <t>VÄSTRA GÖTALANDS LÄN</t>
        </is>
      </c>
      <c r="E626" t="inlineStr">
        <is>
          <t>BENGTSFORS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2522-2023</t>
        </is>
      </c>
      <c r="B627" s="1" t="n">
        <v>44943</v>
      </c>
      <c r="C627" s="1" t="n">
        <v>45505</v>
      </c>
      <c r="D627" t="inlineStr">
        <is>
          <t>VÄSTRA GÖTALANDS LÄN</t>
        </is>
      </c>
      <c r="E627" t="inlineStr">
        <is>
          <t>BENGTSFORS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2803-2023</t>
        </is>
      </c>
      <c r="B628" s="1" t="n">
        <v>44944</v>
      </c>
      <c r="C628" s="1" t="n">
        <v>45505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2806-2023</t>
        </is>
      </c>
      <c r="B629" s="1" t="n">
        <v>44944</v>
      </c>
      <c r="C629" s="1" t="n">
        <v>45505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3155-2023</t>
        </is>
      </c>
      <c r="B630" s="1" t="n">
        <v>44946</v>
      </c>
      <c r="C630" s="1" t="n">
        <v>45505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3825-2023</t>
        </is>
      </c>
      <c r="B631" s="1" t="n">
        <v>44951</v>
      </c>
      <c r="C631" s="1" t="n">
        <v>45505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3751-2023</t>
        </is>
      </c>
      <c r="B632" s="1" t="n">
        <v>44951</v>
      </c>
      <c r="C632" s="1" t="n">
        <v>45505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3823-2023</t>
        </is>
      </c>
      <c r="B633" s="1" t="n">
        <v>44951</v>
      </c>
      <c r="C633" s="1" t="n">
        <v>45505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3853-2023</t>
        </is>
      </c>
      <c r="B634" s="1" t="n">
        <v>44951</v>
      </c>
      <c r="C634" s="1" t="n">
        <v>45505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45505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4480-2023</t>
        </is>
      </c>
      <c r="B636" s="1" t="n">
        <v>44956</v>
      </c>
      <c r="C636" s="1" t="n">
        <v>45505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4475-2023</t>
        </is>
      </c>
      <c r="B637" s="1" t="n">
        <v>44956</v>
      </c>
      <c r="C637" s="1" t="n">
        <v>45505</v>
      </c>
      <c r="D637" t="inlineStr">
        <is>
          <t>VÄSTRA GÖTALANDS LÄN</t>
        </is>
      </c>
      <c r="E637" t="inlineStr">
        <is>
          <t>BENGTSFORS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4404-2023</t>
        </is>
      </c>
      <c r="B638" s="1" t="n">
        <v>44956</v>
      </c>
      <c r="C638" s="1" t="n">
        <v>45505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5007-2023</t>
        </is>
      </c>
      <c r="B639" s="1" t="n">
        <v>44958</v>
      </c>
      <c r="C639" s="1" t="n">
        <v>45505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5006-2023</t>
        </is>
      </c>
      <c r="B640" s="1" t="n">
        <v>44958</v>
      </c>
      <c r="C640" s="1" t="n">
        <v>45505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5057-2023</t>
        </is>
      </c>
      <c r="B641" s="1" t="n">
        <v>44958</v>
      </c>
      <c r="C641" s="1" t="n">
        <v>45505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4942-2023</t>
        </is>
      </c>
      <c r="B642" s="1" t="n">
        <v>44958</v>
      </c>
      <c r="C642" s="1" t="n">
        <v>45505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5851-2023</t>
        </is>
      </c>
      <c r="B643" s="1" t="n">
        <v>44963</v>
      </c>
      <c r="C643" s="1" t="n">
        <v>45505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</v>
      </c>
      <c r="C644" s="1" t="n">
        <v>45505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6204-2023</t>
        </is>
      </c>
      <c r="B645" s="1" t="n">
        <v>44964</v>
      </c>
      <c r="C645" s="1" t="n">
        <v>45505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6406-2023</t>
        </is>
      </c>
      <c r="B646" s="1" t="n">
        <v>44965</v>
      </c>
      <c r="C646" s="1" t="n">
        <v>45505</v>
      </c>
      <c r="D646" t="inlineStr">
        <is>
          <t>VÄSTRA GÖTALANDS LÄN</t>
        </is>
      </c>
      <c r="E646" t="inlineStr">
        <is>
          <t>BENGTSFORS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6614-2023</t>
        </is>
      </c>
      <c r="B647" s="1" t="n">
        <v>44966</v>
      </c>
      <c r="C647" s="1" t="n">
        <v>45505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6607-2023</t>
        </is>
      </c>
      <c r="B648" s="1" t="n">
        <v>44966</v>
      </c>
      <c r="C648" s="1" t="n">
        <v>45505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6617-2023</t>
        </is>
      </c>
      <c r="B649" s="1" t="n">
        <v>44966</v>
      </c>
      <c r="C649" s="1" t="n">
        <v>45505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</v>
      </c>
      <c r="C650" s="1" t="n">
        <v>45505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7431-2023</t>
        </is>
      </c>
      <c r="B651" s="1" t="n">
        <v>44971</v>
      </c>
      <c r="C651" s="1" t="n">
        <v>45505</v>
      </c>
      <c r="D651" t="inlineStr">
        <is>
          <t>VÄSTRA GÖTALANDS LÄN</t>
        </is>
      </c>
      <c r="E651" t="inlineStr">
        <is>
          <t>BENGTSFORS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8379-2023</t>
        </is>
      </c>
      <c r="B652" s="1" t="n">
        <v>44977</v>
      </c>
      <c r="C652" s="1" t="n">
        <v>45505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8825-2023</t>
        </is>
      </c>
      <c r="B653" s="1" t="n">
        <v>44978</v>
      </c>
      <c r="C653" s="1" t="n">
        <v>45505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9029-2023</t>
        </is>
      </c>
      <c r="B654" s="1" t="n">
        <v>44979</v>
      </c>
      <c r="C654" s="1" t="n">
        <v>45505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9276-2023</t>
        </is>
      </c>
      <c r="B655" s="1" t="n">
        <v>44980</v>
      </c>
      <c r="C655" s="1" t="n">
        <v>45505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9498-2023</t>
        </is>
      </c>
      <c r="B656" s="1" t="n">
        <v>44981</v>
      </c>
      <c r="C656" s="1" t="n">
        <v>45505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9698-2023</t>
        </is>
      </c>
      <c r="B657" s="1" t="n">
        <v>44984</v>
      </c>
      <c r="C657" s="1" t="n">
        <v>45505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10629-2023</t>
        </is>
      </c>
      <c r="B658" s="1" t="n">
        <v>44988</v>
      </c>
      <c r="C658" s="1" t="n">
        <v>45505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11443-2023</t>
        </is>
      </c>
      <c r="B659" s="1" t="n">
        <v>44993</v>
      </c>
      <c r="C659" s="1" t="n">
        <v>45505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12075-2023</t>
        </is>
      </c>
      <c r="B660" s="1" t="n">
        <v>44997</v>
      </c>
      <c r="C660" s="1" t="n">
        <v>45505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</v>
      </c>
      <c r="C661" s="1" t="n">
        <v>45505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12132-2023</t>
        </is>
      </c>
      <c r="B662" s="1" t="n">
        <v>44998</v>
      </c>
      <c r="C662" s="1" t="n">
        <v>45505</v>
      </c>
      <c r="D662" t="inlineStr">
        <is>
          <t>VÄSTRA GÖTALANDS LÄN</t>
        </is>
      </c>
      <c r="E662" t="inlineStr">
        <is>
          <t>BENGTSFORS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13053-2023</t>
        </is>
      </c>
      <c r="B663" s="1" t="n">
        <v>45002</v>
      </c>
      <c r="C663" s="1" t="n">
        <v>45505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13649-2023</t>
        </is>
      </c>
      <c r="B664" s="1" t="n">
        <v>45006</v>
      </c>
      <c r="C664" s="1" t="n">
        <v>45505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13830-2023</t>
        </is>
      </c>
      <c r="B665" s="1" t="n">
        <v>45007</v>
      </c>
      <c r="C665" s="1" t="n">
        <v>45505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13835-2023</t>
        </is>
      </c>
      <c r="B666" s="1" t="n">
        <v>45007</v>
      </c>
      <c r="C666" s="1" t="n">
        <v>45505</v>
      </c>
      <c r="D666" t="inlineStr">
        <is>
          <t>VÄSTRA GÖTALANDS LÄN</t>
        </is>
      </c>
      <c r="E666" t="inlineStr">
        <is>
          <t>BENGTSFORS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13826-2023</t>
        </is>
      </c>
      <c r="B667" s="1" t="n">
        <v>45007</v>
      </c>
      <c r="C667" s="1" t="n">
        <v>45505</v>
      </c>
      <c r="D667" t="inlineStr">
        <is>
          <t>VÄSTRA GÖTALANDS LÄN</t>
        </is>
      </c>
      <c r="E667" t="inlineStr">
        <is>
          <t>BENGTSFORS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13831-2023</t>
        </is>
      </c>
      <c r="B668" s="1" t="n">
        <v>45007</v>
      </c>
      <c r="C668" s="1" t="n">
        <v>45505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13843-2023</t>
        </is>
      </c>
      <c r="B669" s="1" t="n">
        <v>45007</v>
      </c>
      <c r="C669" s="1" t="n">
        <v>45505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13953-2023</t>
        </is>
      </c>
      <c r="B670" s="1" t="n">
        <v>45008</v>
      </c>
      <c r="C670" s="1" t="n">
        <v>45505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45505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14842-2023</t>
        </is>
      </c>
      <c r="B672" s="1" t="n">
        <v>45014</v>
      </c>
      <c r="C672" s="1" t="n">
        <v>45505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15037-2023</t>
        </is>
      </c>
      <c r="B673" s="1" t="n">
        <v>45015</v>
      </c>
      <c r="C673" s="1" t="n">
        <v>45505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15695-2023</t>
        </is>
      </c>
      <c r="B674" s="1" t="n">
        <v>45021</v>
      </c>
      <c r="C674" s="1" t="n">
        <v>45505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15653-2023</t>
        </is>
      </c>
      <c r="B675" s="1" t="n">
        <v>45021</v>
      </c>
      <c r="C675" s="1" t="n">
        <v>45505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15651-2023</t>
        </is>
      </c>
      <c r="B676" s="1" t="n">
        <v>45021</v>
      </c>
      <c r="C676" s="1" t="n">
        <v>45505</v>
      </c>
      <c r="D676" t="inlineStr">
        <is>
          <t>VÄSTRA GÖTALANDS LÄN</t>
        </is>
      </c>
      <c r="E676" t="inlineStr">
        <is>
          <t>BENGTSFORS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15869-2023</t>
        </is>
      </c>
      <c r="B677" s="1" t="n">
        <v>45022</v>
      </c>
      <c r="C677" s="1" t="n">
        <v>45505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</v>
      </c>
      <c r="C678" s="1" t="n">
        <v>45505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16644-2023</t>
        </is>
      </c>
      <c r="B679" s="1" t="n">
        <v>45030</v>
      </c>
      <c r="C679" s="1" t="n">
        <v>45505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17066-2023</t>
        </is>
      </c>
      <c r="B680" s="1" t="n">
        <v>45034</v>
      </c>
      <c r="C680" s="1" t="n">
        <v>45505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17329-2023</t>
        </is>
      </c>
      <c r="B681" s="1" t="n">
        <v>45035</v>
      </c>
      <c r="C681" s="1" t="n">
        <v>45505</v>
      </c>
      <c r="D681" t="inlineStr">
        <is>
          <t>VÄSTRA GÖTALANDS LÄN</t>
        </is>
      </c>
      <c r="E681" t="inlineStr">
        <is>
          <t>BENGTSFORS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17909-2023</t>
        </is>
      </c>
      <c r="B682" s="1" t="n">
        <v>45040</v>
      </c>
      <c r="C682" s="1" t="n">
        <v>45505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18101-2023</t>
        </is>
      </c>
      <c r="B683" s="1" t="n">
        <v>45040</v>
      </c>
      <c r="C683" s="1" t="n">
        <v>45505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18441-2023</t>
        </is>
      </c>
      <c r="B684" s="1" t="n">
        <v>45042</v>
      </c>
      <c r="C684" s="1" t="n">
        <v>45505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45505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19032-2023</t>
        </is>
      </c>
      <c r="B686" s="1" t="n">
        <v>45047</v>
      </c>
      <c r="C686" s="1" t="n">
        <v>45505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19289-2023</t>
        </is>
      </c>
      <c r="B687" s="1" t="n">
        <v>45049</v>
      </c>
      <c r="C687" s="1" t="n">
        <v>45505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19322-2023</t>
        </is>
      </c>
      <c r="B688" s="1" t="n">
        <v>45049</v>
      </c>
      <c r="C688" s="1" t="n">
        <v>45505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19342-2023</t>
        </is>
      </c>
      <c r="B689" s="1" t="n">
        <v>45049</v>
      </c>
      <c r="C689" s="1" t="n">
        <v>45505</v>
      </c>
      <c r="D689" t="inlineStr">
        <is>
          <t>VÄSTRA GÖTALANDS LÄN</t>
        </is>
      </c>
      <c r="E689" t="inlineStr">
        <is>
          <t>BENGTSFORS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19556-2023</t>
        </is>
      </c>
      <c r="B690" s="1" t="n">
        <v>45050</v>
      </c>
      <c r="C690" s="1" t="n">
        <v>45505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19557-2023</t>
        </is>
      </c>
      <c r="B691" s="1" t="n">
        <v>45050</v>
      </c>
      <c r="C691" s="1" t="n">
        <v>45505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19870-2023</t>
        </is>
      </c>
      <c r="B692" s="1" t="n">
        <v>45054</v>
      </c>
      <c r="C692" s="1" t="n">
        <v>45505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19868-2023</t>
        </is>
      </c>
      <c r="B693" s="1" t="n">
        <v>45054</v>
      </c>
      <c r="C693" s="1" t="n">
        <v>45505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20125-2023</t>
        </is>
      </c>
      <c r="B694" s="1" t="n">
        <v>45055</v>
      </c>
      <c r="C694" s="1" t="n">
        <v>45505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20908-2023</t>
        </is>
      </c>
      <c r="B695" s="1" t="n">
        <v>45060</v>
      </c>
      <c r="C695" s="1" t="n">
        <v>45505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21229-2023</t>
        </is>
      </c>
      <c r="B696" s="1" t="n">
        <v>45062</v>
      </c>
      <c r="C696" s="1" t="n">
        <v>45505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21594-2023</t>
        </is>
      </c>
      <c r="B697" s="1" t="n">
        <v>45062</v>
      </c>
      <c r="C697" s="1" t="n">
        <v>45505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21373-2023</t>
        </is>
      </c>
      <c r="B698" s="1" t="n">
        <v>45063</v>
      </c>
      <c r="C698" s="1" t="n">
        <v>45505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21941-2023</t>
        </is>
      </c>
      <c r="B699" s="1" t="n">
        <v>45068</v>
      </c>
      <c r="C699" s="1" t="n">
        <v>45505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22601-2023</t>
        </is>
      </c>
      <c r="B700" s="1" t="n">
        <v>45071</v>
      </c>
      <c r="C700" s="1" t="n">
        <v>45505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22607-2023</t>
        </is>
      </c>
      <c r="B701" s="1" t="n">
        <v>45071</v>
      </c>
      <c r="C701" s="1" t="n">
        <v>45505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22649-2023</t>
        </is>
      </c>
      <c r="B702" s="1" t="n">
        <v>45071</v>
      </c>
      <c r="C702" s="1" t="n">
        <v>45505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22968-2023</t>
        </is>
      </c>
      <c r="B703" s="1" t="n">
        <v>45072</v>
      </c>
      <c r="C703" s="1" t="n">
        <v>45505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23123-2023</t>
        </is>
      </c>
      <c r="B704" s="1" t="n">
        <v>45075</v>
      </c>
      <c r="C704" s="1" t="n">
        <v>45505</v>
      </c>
      <c r="D704" t="inlineStr">
        <is>
          <t>VÄSTRA GÖTALANDS LÄN</t>
        </is>
      </c>
      <c r="E704" t="inlineStr">
        <is>
          <t>BENGTSFORS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23131-2023</t>
        </is>
      </c>
      <c r="B705" s="1" t="n">
        <v>45075</v>
      </c>
      <c r="C705" s="1" t="n">
        <v>45505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45505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24115-2023</t>
        </is>
      </c>
      <c r="B707" s="1" t="n">
        <v>45079</v>
      </c>
      <c r="C707" s="1" t="n">
        <v>45505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24116-2023</t>
        </is>
      </c>
      <c r="B708" s="1" t="n">
        <v>45079</v>
      </c>
      <c r="C708" s="1" t="n">
        <v>45505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24371-2023</t>
        </is>
      </c>
      <c r="B709" s="1" t="n">
        <v>45082</v>
      </c>
      <c r="C709" s="1" t="n">
        <v>45505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24690-2023</t>
        </is>
      </c>
      <c r="B710" s="1" t="n">
        <v>45084</v>
      </c>
      <c r="C710" s="1" t="n">
        <v>45505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25639-2023</t>
        </is>
      </c>
      <c r="B711" s="1" t="n">
        <v>45089</v>
      </c>
      <c r="C711" s="1" t="n">
        <v>45505</v>
      </c>
      <c r="D711" t="inlineStr">
        <is>
          <t>VÄSTRA GÖTALANDS LÄN</t>
        </is>
      </c>
      <c r="E711" t="inlineStr">
        <is>
          <t>BENGTSFORS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25786-2023</t>
        </is>
      </c>
      <c r="B712" s="1" t="n">
        <v>45090</v>
      </c>
      <c r="C712" s="1" t="n">
        <v>45505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25832-2023</t>
        </is>
      </c>
      <c r="B713" s="1" t="n">
        <v>45090</v>
      </c>
      <c r="C713" s="1" t="n">
        <v>45505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25955-2023</t>
        </is>
      </c>
      <c r="B714" s="1" t="n">
        <v>45090</v>
      </c>
      <c r="C714" s="1" t="n">
        <v>45505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26243-2023</t>
        </is>
      </c>
      <c r="B715" s="1" t="n">
        <v>45091</v>
      </c>
      <c r="C715" s="1" t="n">
        <v>45505</v>
      </c>
      <c r="D715" t="inlineStr">
        <is>
          <t>VÄSTRA GÖTALANDS LÄN</t>
        </is>
      </c>
      <c r="E715" t="inlineStr">
        <is>
          <t>BENGTSFORS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45505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26096-2023</t>
        </is>
      </c>
      <c r="B717" s="1" t="n">
        <v>45091</v>
      </c>
      <c r="C717" s="1" t="n">
        <v>45505</v>
      </c>
      <c r="D717" t="inlineStr">
        <is>
          <t>VÄSTRA GÖTALANDS LÄN</t>
        </is>
      </c>
      <c r="E717" t="inlineStr">
        <is>
          <t>BENGTSFORS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26628-2023</t>
        </is>
      </c>
      <c r="B718" s="1" t="n">
        <v>45092</v>
      </c>
      <c r="C718" s="1" t="n">
        <v>45505</v>
      </c>
      <c r="D718" t="inlineStr">
        <is>
          <t>VÄSTRA GÖTALANDS LÄN</t>
        </is>
      </c>
      <c r="E718" t="inlineStr">
        <is>
          <t>BENGTSFORS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27117-2023</t>
        </is>
      </c>
      <c r="B719" s="1" t="n">
        <v>45096</v>
      </c>
      <c r="C719" s="1" t="n">
        <v>45505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27557-2023</t>
        </is>
      </c>
      <c r="B720" s="1" t="n">
        <v>45097</v>
      </c>
      <c r="C720" s="1" t="n">
        <v>45505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27552-2023</t>
        </is>
      </c>
      <c r="B721" s="1" t="n">
        <v>45097</v>
      </c>
      <c r="C721" s="1" t="n">
        <v>45505</v>
      </c>
      <c r="D721" t="inlineStr">
        <is>
          <t>VÄSTRA GÖTALANDS LÄN</t>
        </is>
      </c>
      <c r="E721" t="inlineStr">
        <is>
          <t>BENGTSFORS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27739-2023</t>
        </is>
      </c>
      <c r="B722" s="1" t="n">
        <v>45098</v>
      </c>
      <c r="C722" s="1" t="n">
        <v>45505</v>
      </c>
      <c r="D722" t="inlineStr">
        <is>
          <t>VÄSTRA GÖTALANDS LÄN</t>
        </is>
      </c>
      <c r="E722" t="inlineStr">
        <is>
          <t>BENGTSFORS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27835-2023</t>
        </is>
      </c>
      <c r="B723" s="1" t="n">
        <v>45098</v>
      </c>
      <c r="C723" s="1" t="n">
        <v>45505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27832-2023</t>
        </is>
      </c>
      <c r="B724" s="1" t="n">
        <v>45098</v>
      </c>
      <c r="C724" s="1" t="n">
        <v>45505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28498-2023</t>
        </is>
      </c>
      <c r="B725" s="1" t="n">
        <v>45103</v>
      </c>
      <c r="C725" s="1" t="n">
        <v>45505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28883-2023</t>
        </is>
      </c>
      <c r="B726" s="1" t="n">
        <v>45104</v>
      </c>
      <c r="C726" s="1" t="n">
        <v>45505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29800-2023</t>
        </is>
      </c>
      <c r="B727" s="1" t="n">
        <v>45107</v>
      </c>
      <c r="C727" s="1" t="n">
        <v>45505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29791-2023</t>
        </is>
      </c>
      <c r="B728" s="1" t="n">
        <v>45107</v>
      </c>
      <c r="C728" s="1" t="n">
        <v>45505</v>
      </c>
      <c r="D728" t="inlineStr">
        <is>
          <t>VÄSTRA GÖTALANDS LÄN</t>
        </is>
      </c>
      <c r="E728" t="inlineStr">
        <is>
          <t>BENGTSFORS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30279-2023</t>
        </is>
      </c>
      <c r="B729" s="1" t="n">
        <v>45110</v>
      </c>
      <c r="C729" s="1" t="n">
        <v>45505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30460-2023</t>
        </is>
      </c>
      <c r="B730" s="1" t="n">
        <v>45111</v>
      </c>
      <c r="C730" s="1" t="n">
        <v>45505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Övriga Aktiebolag</t>
        </is>
      </c>
      <c r="G730" t="n">
        <v>14.3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30432-2023</t>
        </is>
      </c>
      <c r="B731" s="1" t="n">
        <v>45111</v>
      </c>
      <c r="C731" s="1" t="n">
        <v>45505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30640-2023</t>
        </is>
      </c>
      <c r="B732" s="1" t="n">
        <v>45112</v>
      </c>
      <c r="C732" s="1" t="n">
        <v>45505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30976-2023</t>
        </is>
      </c>
      <c r="B733" s="1" t="n">
        <v>45113</v>
      </c>
      <c r="C733" s="1" t="n">
        <v>45505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31427-2023</t>
        </is>
      </c>
      <c r="B734" s="1" t="n">
        <v>45114</v>
      </c>
      <c r="C734" s="1" t="n">
        <v>45505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32703-2023</t>
        </is>
      </c>
      <c r="B735" s="1" t="n">
        <v>45121</v>
      </c>
      <c r="C735" s="1" t="n">
        <v>45505</v>
      </c>
      <c r="D735" t="inlineStr">
        <is>
          <t>VÄSTRA GÖTALANDS LÄN</t>
        </is>
      </c>
      <c r="E735" t="inlineStr">
        <is>
          <t>BENGTSFORS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32816-2023</t>
        </is>
      </c>
      <c r="B736" s="1" t="n">
        <v>45124</v>
      </c>
      <c r="C736" s="1" t="n">
        <v>45505</v>
      </c>
      <c r="D736" t="inlineStr">
        <is>
          <t>VÄSTRA GÖTALANDS LÄN</t>
        </is>
      </c>
      <c r="E736" t="inlineStr">
        <is>
          <t>BENGTSFORS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33609-2023</t>
        </is>
      </c>
      <c r="B737" s="1" t="n">
        <v>45132</v>
      </c>
      <c r="C737" s="1" t="n">
        <v>45505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34336-2023</t>
        </is>
      </c>
      <c r="B738" s="1" t="n">
        <v>45139</v>
      </c>
      <c r="C738" s="1" t="n">
        <v>45505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34530-2023</t>
        </is>
      </c>
      <c r="B739" s="1" t="n">
        <v>45140</v>
      </c>
      <c r="C739" s="1" t="n">
        <v>45505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34519-2023</t>
        </is>
      </c>
      <c r="B740" s="1" t="n">
        <v>45140</v>
      </c>
      <c r="C740" s="1" t="n">
        <v>45505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36426-2023</t>
        </is>
      </c>
      <c r="B741" s="1" t="n">
        <v>45151</v>
      </c>
      <c r="C741" s="1" t="n">
        <v>45505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36423-2023</t>
        </is>
      </c>
      <c r="B742" s="1" t="n">
        <v>45151</v>
      </c>
      <c r="C742" s="1" t="n">
        <v>45505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36416-2023</t>
        </is>
      </c>
      <c r="B743" s="1" t="n">
        <v>45151</v>
      </c>
      <c r="C743" s="1" t="n">
        <v>45505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36430-2023</t>
        </is>
      </c>
      <c r="B744" s="1" t="n">
        <v>45151</v>
      </c>
      <c r="C744" s="1" t="n">
        <v>45505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37131-2023</t>
        </is>
      </c>
      <c r="B745" s="1" t="n">
        <v>45154</v>
      </c>
      <c r="C745" s="1" t="n">
        <v>45505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37013-2023</t>
        </is>
      </c>
      <c r="B746" s="1" t="n">
        <v>45155</v>
      </c>
      <c r="C746" s="1" t="n">
        <v>45505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37036-2023</t>
        </is>
      </c>
      <c r="B747" s="1" t="n">
        <v>45155</v>
      </c>
      <c r="C747" s="1" t="n">
        <v>45505</v>
      </c>
      <c r="D747" t="inlineStr">
        <is>
          <t>VÄSTRA GÖTALANDS LÄN</t>
        </is>
      </c>
      <c r="E747" t="inlineStr">
        <is>
          <t>BENGTSFORS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37394-2023</t>
        </is>
      </c>
      <c r="B748" s="1" t="n">
        <v>45155</v>
      </c>
      <c r="C748" s="1" t="n">
        <v>45505</v>
      </c>
      <c r="D748" t="inlineStr">
        <is>
          <t>VÄSTRA GÖTALANDS LÄN</t>
        </is>
      </c>
      <c r="E748" t="inlineStr">
        <is>
          <t>BENGTSFORS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37356-2023</t>
        </is>
      </c>
      <c r="B749" s="1" t="n">
        <v>45156</v>
      </c>
      <c r="C749" s="1" t="n">
        <v>45505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38410-2023</t>
        </is>
      </c>
      <c r="B750" s="1" t="n">
        <v>45162</v>
      </c>
      <c r="C750" s="1" t="n">
        <v>45505</v>
      </c>
      <c r="D750" t="inlineStr">
        <is>
          <t>VÄSTRA GÖTALANDS LÄN</t>
        </is>
      </c>
      <c r="E750" t="inlineStr">
        <is>
          <t>BENGTSFORS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38411-2023</t>
        </is>
      </c>
      <c r="B751" s="1" t="n">
        <v>45162</v>
      </c>
      <c r="C751" s="1" t="n">
        <v>45505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39698-2023</t>
        </is>
      </c>
      <c r="B752" s="1" t="n">
        <v>45167</v>
      </c>
      <c r="C752" s="1" t="n">
        <v>45505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39702-2023</t>
        </is>
      </c>
      <c r="B753" s="1" t="n">
        <v>45167</v>
      </c>
      <c r="C753" s="1" t="n">
        <v>45505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39706-2023</t>
        </is>
      </c>
      <c r="B754" s="1" t="n">
        <v>45167</v>
      </c>
      <c r="C754" s="1" t="n">
        <v>45505</v>
      </c>
      <c r="D754" t="inlineStr">
        <is>
          <t>VÄSTRA GÖTALANDS LÄN</t>
        </is>
      </c>
      <c r="E754" t="inlineStr">
        <is>
          <t>BENGTSFORS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39874-2023</t>
        </is>
      </c>
      <c r="B755" s="1" t="n">
        <v>45168</v>
      </c>
      <c r="C755" s="1" t="n">
        <v>45505</v>
      </c>
      <c r="D755" t="inlineStr">
        <is>
          <t>VÄSTRA GÖTALANDS LÄN</t>
        </is>
      </c>
      <c r="E755" t="inlineStr">
        <is>
          <t>BENGTSFORS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39947-2023</t>
        </is>
      </c>
      <c r="B756" s="1" t="n">
        <v>45168</v>
      </c>
      <c r="C756" s="1" t="n">
        <v>45505</v>
      </c>
      <c r="D756" t="inlineStr">
        <is>
          <t>VÄSTRA GÖTALANDS LÄN</t>
        </is>
      </c>
      <c r="E756" t="inlineStr">
        <is>
          <t>BENGTSFORS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41118-2023</t>
        </is>
      </c>
      <c r="B757" s="1" t="n">
        <v>45173</v>
      </c>
      <c r="C757" s="1" t="n">
        <v>45505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</v>
      </c>
      <c r="C758" s="1" t="n">
        <v>45505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41865-2023</t>
        </is>
      </c>
      <c r="B759" s="1" t="n">
        <v>45176</v>
      </c>
      <c r="C759" s="1" t="n">
        <v>45505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42381-2023</t>
        </is>
      </c>
      <c r="B760" s="1" t="n">
        <v>45180</v>
      </c>
      <c r="C760" s="1" t="n">
        <v>45505</v>
      </c>
      <c r="D760" t="inlineStr">
        <is>
          <t>VÄSTRA GÖTALANDS LÄN</t>
        </is>
      </c>
      <c r="E760" t="inlineStr">
        <is>
          <t>BENGTSFORS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42384-2023</t>
        </is>
      </c>
      <c r="B761" s="1" t="n">
        <v>45180</v>
      </c>
      <c r="C761" s="1" t="n">
        <v>45505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42386-2023</t>
        </is>
      </c>
      <c r="B762" s="1" t="n">
        <v>45180</v>
      </c>
      <c r="C762" s="1" t="n">
        <v>45505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43575-2023</t>
        </is>
      </c>
      <c r="B763" s="1" t="n">
        <v>45181</v>
      </c>
      <c r="C763" s="1" t="n">
        <v>45505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45505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42989-2023</t>
        </is>
      </c>
      <c r="B765" s="1" t="n">
        <v>45182</v>
      </c>
      <c r="C765" s="1" t="n">
        <v>45505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44462-2023</t>
        </is>
      </c>
      <c r="B766" s="1" t="n">
        <v>45189</v>
      </c>
      <c r="C766" s="1" t="n">
        <v>45505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44535-2023</t>
        </is>
      </c>
      <c r="B767" s="1" t="n">
        <v>45189</v>
      </c>
      <c r="C767" s="1" t="n">
        <v>45505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46764-2023</t>
        </is>
      </c>
      <c r="B768" s="1" t="n">
        <v>45195</v>
      </c>
      <c r="C768" s="1" t="n">
        <v>45505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46767-2023</t>
        </is>
      </c>
      <c r="B769" s="1" t="n">
        <v>45195</v>
      </c>
      <c r="C769" s="1" t="n">
        <v>45505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47129-2023</t>
        </is>
      </c>
      <c r="B770" s="1" t="n">
        <v>45196</v>
      </c>
      <c r="C770" s="1" t="n">
        <v>45505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46534-2023</t>
        </is>
      </c>
      <c r="B771" s="1" t="n">
        <v>45197</v>
      </c>
      <c r="C771" s="1" t="n">
        <v>45505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46740-2023</t>
        </is>
      </c>
      <c r="B772" s="1" t="n">
        <v>45198</v>
      </c>
      <c r="C772" s="1" t="n">
        <v>45505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46745-2023</t>
        </is>
      </c>
      <c r="B773" s="1" t="n">
        <v>45198</v>
      </c>
      <c r="C773" s="1" t="n">
        <v>45505</v>
      </c>
      <c r="D773" t="inlineStr">
        <is>
          <t>VÄSTRA GÖTALANDS LÄN</t>
        </is>
      </c>
      <c r="E773" t="inlineStr">
        <is>
          <t>BENGTSFORS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46742-2023</t>
        </is>
      </c>
      <c r="B774" s="1" t="n">
        <v>45198</v>
      </c>
      <c r="C774" s="1" t="n">
        <v>45505</v>
      </c>
      <c r="D774" t="inlineStr">
        <is>
          <t>VÄSTRA GÖTALANDS LÄN</t>
        </is>
      </c>
      <c r="E774" t="inlineStr">
        <is>
          <t>BENGTSFORS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46929-2023</t>
        </is>
      </c>
      <c r="B775" s="1" t="n">
        <v>45201</v>
      </c>
      <c r="C775" s="1" t="n">
        <v>45505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46932-2023</t>
        </is>
      </c>
      <c r="B776" s="1" t="n">
        <v>45201</v>
      </c>
      <c r="C776" s="1" t="n">
        <v>45505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47212-2023</t>
        </is>
      </c>
      <c r="B777" s="1" t="n">
        <v>45202</v>
      </c>
      <c r="C777" s="1" t="n">
        <v>45505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47195-2023</t>
        </is>
      </c>
      <c r="B778" s="1" t="n">
        <v>45202</v>
      </c>
      <c r="C778" s="1" t="n">
        <v>45505</v>
      </c>
      <c r="D778" t="inlineStr">
        <is>
          <t>VÄSTRA GÖTALANDS LÄN</t>
        </is>
      </c>
      <c r="E778" t="inlineStr">
        <is>
          <t>BENGTSFORS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45505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50142-2023</t>
        </is>
      </c>
      <c r="B780" s="1" t="n">
        <v>45208</v>
      </c>
      <c r="C780" s="1" t="n">
        <v>45505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48961-2023</t>
        </is>
      </c>
      <c r="B781" s="1" t="n">
        <v>45209</v>
      </c>
      <c r="C781" s="1" t="n">
        <v>45505</v>
      </c>
      <c r="D781" t="inlineStr">
        <is>
          <t>VÄSTRA GÖTALANDS LÄN</t>
        </is>
      </c>
      <c r="E781" t="inlineStr">
        <is>
          <t>BENGTSFORS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49154-2023</t>
        </is>
      </c>
      <c r="B782" s="1" t="n">
        <v>45210</v>
      </c>
      <c r="C782" s="1" t="n">
        <v>45505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45505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45505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45505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45505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45505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45505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45505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45505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45505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45505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45505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45505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45505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45505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45505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45505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45505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45505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45505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45505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45505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45505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45505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45505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45505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45505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45505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45505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45505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45505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45505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45505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45505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45505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45505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45505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45505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45505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45505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45505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45505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45505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45505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45505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45505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45505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45505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45505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45505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45505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45505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45505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45505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45505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45505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45505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45505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45505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45505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45505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45505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45505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45505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45505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45505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45505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45505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45505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45505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45505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45505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45505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45505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45505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45505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45505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45505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45505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45505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45505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45505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45505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45505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45505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45505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45505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45505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45505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45505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45505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45505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45505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45505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45505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45505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45505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45505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45505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45505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45505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45505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45505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45505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45505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45505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45505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45505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45505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45505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45505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45505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45505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45505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45505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45505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45505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45505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45505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45505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45505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45505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45505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45505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45505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45505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45505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45505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45505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45505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45505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45505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45505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45505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45505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45505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45505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45505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45505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45505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45505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45505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45505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45505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45505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45505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45505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45505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45505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45505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45505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45505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45505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45505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45505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45505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45505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45505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45505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45505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45505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45505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45505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45505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22377-2024</t>
        </is>
      </c>
      <c r="B946" s="1" t="n">
        <v>45446</v>
      </c>
      <c r="C946" s="1" t="n">
        <v>45505</v>
      </c>
      <c r="D946" t="inlineStr">
        <is>
          <t>VÄSTRA GÖTALANDS LÄN</t>
        </is>
      </c>
      <c r="E946" t="inlineStr">
        <is>
          <t>BENGTSFORS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22344-2024</t>
        </is>
      </c>
      <c r="B947" s="1" t="n">
        <v>45446</v>
      </c>
      <c r="C947" s="1" t="n">
        <v>45505</v>
      </c>
      <c r="D947" t="inlineStr">
        <is>
          <t>VÄSTRA GÖTALANDS LÄN</t>
        </is>
      </c>
      <c r="E947" t="inlineStr">
        <is>
          <t>BENGTSFORS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45505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24051-2024</t>
        </is>
      </c>
      <c r="B949" s="1" t="n">
        <v>45456</v>
      </c>
      <c r="C949" s="1" t="n">
        <v>45505</v>
      </c>
      <c r="D949" t="inlineStr">
        <is>
          <t>VÄSTRA GÖTALANDS LÄN</t>
        </is>
      </c>
      <c r="E949" t="inlineStr">
        <is>
          <t>BENGTSFORS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24125-2024</t>
        </is>
      </c>
      <c r="B950" s="1" t="n">
        <v>45456</v>
      </c>
      <c r="C950" s="1" t="n">
        <v>45505</v>
      </c>
      <c r="D950" t="inlineStr">
        <is>
          <t>VÄSTRA GÖTALANDS LÄN</t>
        </is>
      </c>
      <c r="E950" t="inlineStr">
        <is>
          <t>BENGTSFORS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45505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45505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45505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45505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45505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45505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25887-2024</t>
        </is>
      </c>
      <c r="B957" s="1" t="n">
        <v>45467</v>
      </c>
      <c r="C957" s="1" t="n">
        <v>45505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27478-2024</t>
        </is>
      </c>
      <c r="B958" s="1" t="n">
        <v>45474</v>
      </c>
      <c r="C958" s="1" t="n">
        <v>45505</v>
      </c>
      <c r="D958" t="inlineStr">
        <is>
          <t>VÄSTRA GÖTALANDS LÄN</t>
        </is>
      </c>
      <c r="E958" t="inlineStr">
        <is>
          <t>BENGTSFORS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27751-2024</t>
        </is>
      </c>
      <c r="B959" s="1" t="n">
        <v>45475</v>
      </c>
      <c r="C959" s="1" t="n">
        <v>45505</v>
      </c>
      <c r="D959" t="inlineStr">
        <is>
          <t>VÄSTRA GÖTALANDS LÄN</t>
        </is>
      </c>
      <c r="E959" t="inlineStr">
        <is>
          <t>BENGTSFORS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28175-2024</t>
        </is>
      </c>
      <c r="B960" s="1" t="n">
        <v>45477</v>
      </c>
      <c r="C960" s="1" t="n">
        <v>45505</v>
      </c>
      <c r="D960" t="inlineStr">
        <is>
          <t>VÄSTRA GÖTALANDS LÄN</t>
        </is>
      </c>
      <c r="E960" t="inlineStr">
        <is>
          <t>BENGTSFORS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28460-2024</t>
        </is>
      </c>
      <c r="B961" s="1" t="n">
        <v>45477</v>
      </c>
      <c r="C961" s="1" t="n">
        <v>45505</v>
      </c>
      <c r="D961" t="inlineStr">
        <is>
          <t>VÄSTRA GÖTALANDS LÄN</t>
        </is>
      </c>
      <c r="E961" t="inlineStr">
        <is>
          <t>BENGTSFORS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28280-2024</t>
        </is>
      </c>
      <c r="B962" s="1" t="n">
        <v>45477</v>
      </c>
      <c r="C962" s="1" t="n">
        <v>45505</v>
      </c>
      <c r="D962" t="inlineStr">
        <is>
          <t>VÄSTRA GÖTALANDS LÄN</t>
        </is>
      </c>
      <c r="E962" t="inlineStr">
        <is>
          <t>BENGTSFORS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28742-2024</t>
        </is>
      </c>
      <c r="B963" s="1" t="n">
        <v>45478</v>
      </c>
      <c r="C963" s="1" t="n">
        <v>45505</v>
      </c>
      <c r="D963" t="inlineStr">
        <is>
          <t>VÄSTRA GÖTALANDS LÄN</t>
        </is>
      </c>
      <c r="E963" t="inlineStr">
        <is>
          <t>BENGTSFORS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45505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29224-2024</t>
        </is>
      </c>
      <c r="B965" s="1" t="n">
        <v>45482</v>
      </c>
      <c r="C965" s="1" t="n">
        <v>45505</v>
      </c>
      <c r="D965" t="inlineStr">
        <is>
          <t>VÄSTRA GÖTALANDS LÄN</t>
        </is>
      </c>
      <c r="E965" t="inlineStr">
        <is>
          <t>BENGTSFORS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29775-2024</t>
        </is>
      </c>
      <c r="B966" s="1" t="n">
        <v>45485</v>
      </c>
      <c r="C966" s="1" t="n">
        <v>45505</v>
      </c>
      <c r="D966" t="inlineStr">
        <is>
          <t>VÄSTRA GÖTALANDS LÄN</t>
        </is>
      </c>
      <c r="E966" t="inlineStr">
        <is>
          <t>BENGTSFORS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30236-2024</t>
        </is>
      </c>
      <c r="B967" s="1" t="n">
        <v>45490</v>
      </c>
      <c r="C967" s="1" t="n">
        <v>45505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30238-2024</t>
        </is>
      </c>
      <c r="B968" s="1" t="n">
        <v>45490</v>
      </c>
      <c r="C968" s="1" t="n">
        <v>45505</v>
      </c>
      <c r="D968" t="inlineStr">
        <is>
          <t>VÄSTRA GÖTALANDS LÄN</t>
        </is>
      </c>
      <c r="E968" t="inlineStr">
        <is>
          <t>BENGTSFORS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45505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45505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31246-2024</t>
        </is>
      </c>
      <c r="B971" s="1" t="n">
        <v>45503</v>
      </c>
      <c r="C971" s="1" t="n">
        <v>45505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2024-08-01T10:41:59Z</dcterms:created>
  <dcterms:modified xmlns:dcterms="http://purl.org/dc/terms/" xmlns:xsi="http://www.w3.org/2001/XMLSchema-instance" xsi:type="dcterms:W3CDTF">2024-08-01T10:42:00Z</dcterms:modified>
</cp:coreProperties>
</file>