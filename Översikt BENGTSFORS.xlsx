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46257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46257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46257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46257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46257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46257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46257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46257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46257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46257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46257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46257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46257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46257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46257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46257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46257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46257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46257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46257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46257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46257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46257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46257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46257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46257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46257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46257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46257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46257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46257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46257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46257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46257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46257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46257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46257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46257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46257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46257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46257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35280-2025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46257</v>
      </c>
      <c r="F43" t="inlineStr">
        <is>
          <t>VÄSTRA GÖTALANDS LÄN</t>
        </is>
      </c>
      <c r="G43" t="inlineStr">
        <is>
          <t>BENGTSFORS</t>
        </is>
      </c>
      <c r="I43" t="n">
        <v>1.3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Skogsklocka
Svinrot</t>
        </is>
      </c>
      <c r="W43">
        <f>HYPERLINK("https://klasma.github.io/Logging_1460/artfynd/A 35280-2025 artfynd.xlsx", "A 35280-2025")</f>
        <v/>
      </c>
      <c r="X43">
        <f>HYPERLINK("https://klasma.github.io/Logging_1460/kartor/A 35280-2025 karta.png", "A 35280-2025")</f>
        <v/>
      </c>
      <c r="Y43">
        <f>HYPERLINK("https://klasma.github.io/Logging_1460/kartor_geotiff/A 35280-2025 georefererad karta.tif", "A 35280-2025")</f>
        <v/>
      </c>
      <c r="AA43">
        <f>HYPERLINK("https://klasma.github.io/Logging_1460/klagomål/A 35280-2025 FSC-klagomål.docx", "A 35280-2025")</f>
        <v/>
      </c>
      <c r="AB43">
        <f>HYPERLINK("https://klasma.github.io/Logging_1460/klagomålsmail/A 35280-2025 FSC-klagomål mail.docx", "A 35280-2025")</f>
        <v/>
      </c>
      <c r="AC43">
        <f>HYPERLINK("https://klasma.github.io/Logging_1460/tillsyn/A 35280-2025 tillsynsbegäran.docx", "A 35280-2025")</f>
        <v/>
      </c>
      <c r="AD43">
        <f>HYPERLINK("https://klasma.github.io/Logging_1460/tillsynsmail/A 35280-2025 tillsynsbegäran mail.docx", "A 35280-2025")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46257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46257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46257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46257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46257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46257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46257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41538-2025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45901</v>
      </c>
      <c r="E51" s="1" t="n">
        <v>46257</v>
      </c>
      <c r="F51" t="inlineStr">
        <is>
          <t>VÄSTRA GÖTALANDS LÄN</t>
        </is>
      </c>
      <c r="G51" t="inlineStr">
        <is>
          <t>BENGTSFORS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HYPERLINK("https://klasma.github.io/Logging_1460/artfynd/A 41538-2025 artfynd.xlsx", "A 41538-2025")</f>
        <v/>
      </c>
      <c r="X51">
        <f>HYPERLINK("https://klasma.github.io/Logging_1460/kartor/A 41538-2025 karta.png", "A 41538-2025")</f>
        <v/>
      </c>
      <c r="Y51">
        <f>HYPERLINK("https://klasma.github.io/Logging_1460/kartor_geotiff/A 41538-2025 georefererad karta.tif", "A 41538-2025")</f>
        <v/>
      </c>
      <c r="AA51">
        <f>HYPERLINK("https://klasma.github.io/Logging_1460/klagomål/A 41538-2025 FSC-klagomål.docx", "A 41538-2025")</f>
        <v/>
      </c>
      <c r="AB51">
        <f>HYPERLINK("https://klasma.github.io/Logging_1460/klagomålsmail/A 41538-2025 FSC-klagomål mail.docx", "A 41538-2025")</f>
        <v/>
      </c>
      <c r="AC51">
        <f>HYPERLINK("https://klasma.github.io/Logging_1460/tillsyn/A 41538-2025 tillsynsbegäran.docx", "A 41538-2025")</f>
        <v/>
      </c>
      <c r="AD51">
        <f>HYPERLINK("https://klasma.github.io/Logging_1460/tillsynsmail/A 41538-2025 tillsynsbegäran mail.docx", "A 41538-2025")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46257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29828-2025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46257</v>
      </c>
      <c r="F53" t="inlineStr">
        <is>
          <t>VÄSTRA GÖTALANDS LÄN</t>
        </is>
      </c>
      <c r="G53" t="inlineStr">
        <is>
          <t>BENGTSFORS</t>
        </is>
      </c>
      <c r="I53" t="n">
        <v>8.800000000000001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Stor revmossa</t>
        </is>
      </c>
      <c r="W53">
        <f>HYPERLINK("https://klasma.github.io/Logging_1460/artfynd/A 29828-2025 artfynd.xlsx", "A 29828-2025")</f>
        <v/>
      </c>
      <c r="X53">
        <f>HYPERLINK("https://klasma.github.io/Logging_1460/kartor/A 29828-2025 karta.png", "A 29828-2025")</f>
        <v/>
      </c>
      <c r="Y53">
        <f>HYPERLINK("https://klasma.github.io/Logging_1460/kartor_geotiff/A 29828-2025 georefererad karta.tif", "A 29828-2025")</f>
        <v/>
      </c>
      <c r="AA53">
        <f>HYPERLINK("https://klasma.github.io/Logging_1460/klagomål/A 29828-2025 FSC-klagomål.docx", "A 29828-2025")</f>
        <v/>
      </c>
      <c r="AB53">
        <f>HYPERLINK("https://klasma.github.io/Logging_1460/klagomålsmail/A 29828-2025 FSC-klagomål mail.docx", "A 29828-2025")</f>
        <v/>
      </c>
      <c r="AC53">
        <f>HYPERLINK("https://klasma.github.io/Logging_1460/tillsyn/A 29828-2025 tillsynsbegäran.docx", "A 29828-2025")</f>
        <v/>
      </c>
      <c r="AD53">
        <f>HYPERLINK("https://klasma.github.io/Logging_1460/tillsynsmail/A 29828-2025 tillsynsbegäran mail.docx", "A 29828-2025")</f>
        <v/>
      </c>
    </row>
    <row r="54" ht="15" customHeight="1">
      <c r="A54" t="inlineStr">
        <is>
          <t>A 928-2022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44571</v>
      </c>
      <c r="E54" s="1" t="n">
        <v>46257</v>
      </c>
      <c r="F54" t="inlineStr">
        <is>
          <t>VÄSTRA GÖTALANDS LÄN</t>
        </is>
      </c>
      <c r="G54" t="inlineStr">
        <is>
          <t>BENGTSFORS</t>
        </is>
      </c>
      <c r="I54" t="n">
        <v>7.4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HYPERLINK("https://klasma.github.io/Logging_1460/artfynd/A 928-2022 artfynd.xlsx", "A 928-2022")</f>
        <v/>
      </c>
      <c r="X54">
        <f>HYPERLINK("https://klasma.github.io/Logging_1460/kartor/A 928-2022 karta.png", "A 928-2022")</f>
        <v/>
      </c>
      <c r="Y54">
        <f>HYPERLINK("https://klasma.github.io/Logging_1460/kartor_geotiff/A 928-2022 georefererad karta.tif", "A 928-2022")</f>
        <v/>
      </c>
      <c r="AA54">
        <f>HYPERLINK("https://klasma.github.io/Logging_1460/klagomål/A 928-2022 FSC-klagomål.docx", "A 928-2022")</f>
        <v/>
      </c>
      <c r="AB54">
        <f>HYPERLINK("https://klasma.github.io/Logging_1460/klagomålsmail/A 928-2022 FSC-klagomål mail.docx", "A 928-2022")</f>
        <v/>
      </c>
      <c r="AC54">
        <f>HYPERLINK("https://klasma.github.io/Logging_1460/tillsyn/A 928-2022 tillsynsbegäran.docx", "A 928-2022")</f>
        <v/>
      </c>
      <c r="AD54">
        <f>HYPERLINK("https://klasma.github.io/Logging_1460/tillsynsmail/A 928-2022 tillsynsbegäran mail.docx", "A 928-2022")</f>
        <v/>
      </c>
    </row>
    <row r="55" ht="15" customHeight="1">
      <c r="A55" t="inlineStr">
        <is>
          <t>A 31710-2022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46257</v>
      </c>
      <c r="F55" t="inlineStr">
        <is>
          <t>VÄSTRA GÖTALANDS LÄN</t>
        </is>
      </c>
      <c r="G55" t="inlineStr">
        <is>
          <t>BENGTSFORS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HYPERLINK("https://klasma.github.io/Logging_1460/artfynd/A 31710-2022 artfynd.xlsx", "A 31710-2022")</f>
        <v/>
      </c>
      <c r="X55">
        <f>HYPERLINK("https://klasma.github.io/Logging_1460/kartor/A 31710-2022 karta.png", "A 31710-2022")</f>
        <v/>
      </c>
      <c r="Y55">
        <f>HYPERLINK("https://klasma.github.io/Logging_1460/kartor_geotiff/A 31710-2022 georefererad karta.tif", "A 31710-2022")</f>
        <v/>
      </c>
      <c r="AA55">
        <f>HYPERLINK("https://klasma.github.io/Logging_1460/klagomål/A 31710-2022 FSC-klagomål.docx", "A 31710-2022")</f>
        <v/>
      </c>
      <c r="AB55">
        <f>HYPERLINK("https://klasma.github.io/Logging_1460/klagomålsmail/A 31710-2022 FSC-klagomål mail.docx", "A 31710-2022")</f>
        <v/>
      </c>
      <c r="AC55">
        <f>HYPERLINK("https://klasma.github.io/Logging_1460/tillsyn/A 31710-2022 tillsynsbegäran.docx", "A 31710-2022")</f>
        <v/>
      </c>
      <c r="AD55">
        <f>HYPERLINK("https://klasma.github.io/Logging_1460/tillsynsmail/A 31710-2022 tillsynsbegäran mail.docx", "A 31710-2022")</f>
        <v/>
      </c>
    </row>
    <row r="56" ht="15" customHeight="1">
      <c r="A56" t="inlineStr">
        <is>
          <t>A 48972-2025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46257</v>
      </c>
      <c r="F56" t="inlineStr">
        <is>
          <t>VÄSTRA GÖTALANDS LÄN</t>
        </is>
      </c>
      <c r="G56" t="inlineStr">
        <is>
          <t>BENGTSFORS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HYPERLINK("https://klasma.github.io/Logging_1460/artfynd/A 48972-2025 artfynd.xlsx", "A 48972-2025")</f>
        <v/>
      </c>
      <c r="X56">
        <f>HYPERLINK("https://klasma.github.io/Logging_1460/kartor/A 48972-2025 karta.png", "A 48972-2025")</f>
        <v/>
      </c>
      <c r="Y56">
        <f>HYPERLINK("https://klasma.github.io/Logging_1460/kartor_geotiff/A 48972-2025 georefererad karta.tif", "A 48972-2025")</f>
        <v/>
      </c>
      <c r="AA56">
        <f>HYPERLINK("https://klasma.github.io/Logging_1460/klagomål/A 48972-2025 FSC-klagomål.docx", "A 48972-2025")</f>
        <v/>
      </c>
      <c r="AB56">
        <f>HYPERLINK("https://klasma.github.io/Logging_1460/klagomålsmail/A 48972-2025 FSC-klagomål mail.docx", "A 48972-2025")</f>
        <v/>
      </c>
      <c r="AC56">
        <f>HYPERLINK("https://klasma.github.io/Logging_1460/tillsyn/A 48972-2025 tillsynsbegäran.docx", "A 48972-2025")</f>
        <v/>
      </c>
      <c r="AD56">
        <f>HYPERLINK("https://klasma.github.io/Logging_1460/tillsynsmail/A 48972-2025 tillsynsbegäran mail.docx", "A 48972-2025")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46257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8542-2024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46257</v>
      </c>
      <c r="F58" t="inlineStr">
        <is>
          <t>VÄSTRA GÖTALANDS LÄN</t>
        </is>
      </c>
      <c r="G58" t="inlineStr">
        <is>
          <t>BENGTSFORS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Ärtsångare</t>
        </is>
      </c>
      <c r="W58">
        <f>HYPERLINK("https://klasma.github.io/Logging_1460/artfynd/A 8542-2024 artfynd.xlsx", "A 8542-2024")</f>
        <v/>
      </c>
      <c r="X58">
        <f>HYPERLINK("https://klasma.github.io/Logging_1460/kartor/A 8542-2024 karta.png", "A 8542-2024")</f>
        <v/>
      </c>
      <c r="Y58">
        <f>HYPERLINK("https://klasma.github.io/Logging_1460/kartor_geotiff/A 8542-2024 georefererad karta.tif", "A 8542-2024")</f>
        <v/>
      </c>
      <c r="AA58">
        <f>HYPERLINK("https://klasma.github.io/Logging_1460/klagomål/A 8542-2024 FSC-klagomål.docx", "A 8542-2024")</f>
        <v/>
      </c>
      <c r="AB58">
        <f>HYPERLINK("https://klasma.github.io/Logging_1460/klagomålsmail/A 8542-2024 FSC-klagomål mail.docx", "A 8542-2024")</f>
        <v/>
      </c>
      <c r="AC58">
        <f>HYPERLINK("https://klasma.github.io/Logging_1460/tillsyn/A 8542-2024 tillsynsbegäran.docx", "A 8542-2024")</f>
        <v/>
      </c>
      <c r="AD58">
        <f>HYPERLINK("https://klasma.github.io/Logging_1460/tillsynsmail/A 8542-2024 tillsynsbegäran mail.docx", "A 8542-2024")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46257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46257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41210-2024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45559</v>
      </c>
      <c r="E61" s="1" t="n">
        <v>46257</v>
      </c>
      <c r="F61" t="inlineStr">
        <is>
          <t>VÄSTRA GÖTALANDS LÄN</t>
        </is>
      </c>
      <c r="G61" t="inlineStr">
        <is>
          <t>BENGTSFORS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Skogsklocka</t>
        </is>
      </c>
      <c r="W61">
        <f>HYPERLINK("https://klasma.github.io/Logging_1460/artfynd/A 41210-2024 artfynd.xlsx", "A 41210-2024")</f>
        <v/>
      </c>
      <c r="X61">
        <f>HYPERLINK("https://klasma.github.io/Logging_1460/kartor/A 41210-2024 karta.png", "A 41210-2024")</f>
        <v/>
      </c>
      <c r="Y61">
        <f>HYPERLINK("https://klasma.github.io/Logging_1460/kartor_geotiff/A 41210-2024 georefererad karta.tif", "A 41210-2024")</f>
        <v/>
      </c>
      <c r="AA61">
        <f>HYPERLINK("https://klasma.github.io/Logging_1460/klagomål/A 41210-2024 FSC-klagomål.docx", "A 41210-2024")</f>
        <v/>
      </c>
      <c r="AB61">
        <f>HYPERLINK("https://klasma.github.io/Logging_1460/klagomålsmail/A 41210-2024 FSC-klagomål mail.docx", "A 41210-2024")</f>
        <v/>
      </c>
      <c r="AC61">
        <f>HYPERLINK("https://klasma.github.io/Logging_1460/tillsyn/A 41210-2024 tillsynsbegäran.docx", "A 41210-2024")</f>
        <v/>
      </c>
      <c r="AD61">
        <f>HYPERLINK("https://klasma.github.io/Logging_1460/tillsynsmail/A 41210-2024 tillsynsbegäran mail.docx", "A 41210-2024")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46257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19951-2024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46257</v>
      </c>
      <c r="F63" t="inlineStr">
        <is>
          <t>VÄSTRA GÖTALANDS LÄN</t>
        </is>
      </c>
      <c r="G63" t="inlineStr">
        <is>
          <t>BENGTSFORS</t>
        </is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HYPERLINK("https://klasma.github.io/Logging_1460/artfynd/A 19951-2024 artfynd.xlsx", "A 19951-2024")</f>
        <v/>
      </c>
      <c r="X63">
        <f>HYPERLINK("https://klasma.github.io/Logging_1460/kartor/A 19951-2024 karta.png", "A 19951-2024")</f>
        <v/>
      </c>
      <c r="Y63">
        <f>HYPERLINK("https://klasma.github.io/Logging_1460/kartor_geotiff/A 19951-2024 georefererad karta.tif", "A 19951-2024")</f>
        <v/>
      </c>
      <c r="AA63">
        <f>HYPERLINK("https://klasma.github.io/Logging_1460/klagomål/A 19951-2024 FSC-klagomål.docx", "A 19951-2024")</f>
        <v/>
      </c>
      <c r="AB63">
        <f>HYPERLINK("https://klasma.github.io/Logging_1460/klagomålsmail/A 19951-2024 FSC-klagomål mail.docx", "A 19951-2024")</f>
        <v/>
      </c>
      <c r="AC63">
        <f>HYPERLINK("https://klasma.github.io/Logging_1460/tillsyn/A 19951-2024 tillsynsbegäran.docx", "A 19951-2024")</f>
        <v/>
      </c>
      <c r="AD63">
        <f>HYPERLINK("https://klasma.github.io/Logging_1460/tillsynsmail/A 19951-2024 tillsynsbegäran mail.docx", "A 19951-2024")</f>
        <v/>
      </c>
    </row>
    <row r="64" ht="15" customHeight="1">
      <c r="A64" t="inlineStr">
        <is>
          <t>A 2504-2024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46257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Strutbräken</t>
        </is>
      </c>
      <c r="W64">
        <f>HYPERLINK("https://klasma.github.io/Logging_1460/artfynd/A 2504-2024 artfynd.xlsx", "A 2504-2024")</f>
        <v/>
      </c>
      <c r="X64">
        <f>HYPERLINK("https://klasma.github.io/Logging_1460/kartor/A 2504-2024 karta.png", "A 2504-2024")</f>
        <v/>
      </c>
      <c r="Y64">
        <f>HYPERLINK("https://klasma.github.io/Logging_1460/kartor_geotiff/A 2504-2024 georefererad karta.tif", "A 2504-2024")</f>
        <v/>
      </c>
      <c r="AA64">
        <f>HYPERLINK("https://klasma.github.io/Logging_1460/klagomål/A 2504-2024 FSC-klagomål.docx", "A 2504-2024")</f>
        <v/>
      </c>
      <c r="AB64">
        <f>HYPERLINK("https://klasma.github.io/Logging_1460/klagomålsmail/A 2504-2024 FSC-klagomål mail.docx", "A 2504-2024")</f>
        <v/>
      </c>
      <c r="AC64">
        <f>HYPERLINK("https://klasma.github.io/Logging_1460/tillsyn/A 2504-2024 tillsynsbegäran.docx", "A 2504-2024")</f>
        <v/>
      </c>
      <c r="AD64">
        <f>HYPERLINK("https://klasma.github.io/Logging_1460/tillsynsmail/A 2504-2024 tillsynsbegäran mail.docx", "A 2504-2024")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46257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18086-2024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46257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HYPERLINK("https://klasma.github.io/Logging_1460/artfynd/A 18086-2024 artfynd.xlsx", "A 18086-2024")</f>
        <v/>
      </c>
      <c r="X66">
        <f>HYPERLINK("https://klasma.github.io/Logging_1460/kartor/A 18086-2024 karta.png", "A 18086-2024")</f>
        <v/>
      </c>
      <c r="Y66">
        <f>HYPERLINK("https://klasma.github.io/Logging_1460/kartor_geotiff/A 18086-2024 georefererad karta.tif", "A 18086-2024")</f>
        <v/>
      </c>
      <c r="Z66">
        <f>HYPERLINK("https://klasma.github.io/Logging_1460/knärot/A 18086-2024 karta knärot.png", "A 18086-2024")</f>
        <v/>
      </c>
      <c r="AA66">
        <f>HYPERLINK("https://klasma.github.io/Logging_1460/klagomål/A 18086-2024 FSC-klagomål.docx", "A 18086-2024")</f>
        <v/>
      </c>
      <c r="AB66">
        <f>HYPERLINK("https://klasma.github.io/Logging_1460/klagomålsmail/A 18086-2024 FSC-klagomål mail.docx", "A 18086-2024")</f>
        <v/>
      </c>
      <c r="AC66">
        <f>HYPERLINK("https://klasma.github.io/Logging_1460/tillsyn/A 18086-2024 tillsynsbegäran.docx", "A 18086-2024")</f>
        <v/>
      </c>
      <c r="AD66">
        <f>HYPERLINK("https://klasma.github.io/Logging_1460/tillsynsmail/A 18086-2024 tillsynsbegäran mail.docx", "A 18086-2024")</f>
        <v/>
      </c>
    </row>
    <row r="67" ht="15" customHeight="1">
      <c r="A67" t="inlineStr">
        <is>
          <t>A 52560-2021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46257</v>
      </c>
      <c r="F67" t="inlineStr">
        <is>
          <t>VÄSTRA GÖTALANDS LÄN</t>
        </is>
      </c>
      <c r="G67" t="inlineStr">
        <is>
          <t>BENGTSFORS</t>
        </is>
      </c>
      <c r="I67" t="n">
        <v>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Aspgelélav</t>
        </is>
      </c>
      <c r="W67">
        <f>HYPERLINK("https://klasma.github.io/Logging_1460/artfynd/A 52560-2021 artfynd.xlsx", "A 52560-2021")</f>
        <v/>
      </c>
      <c r="X67">
        <f>HYPERLINK("https://klasma.github.io/Logging_1460/kartor/A 52560-2021 karta.png", "A 52560-2021")</f>
        <v/>
      </c>
      <c r="Y67">
        <f>HYPERLINK("https://klasma.github.io/Logging_1460/kartor_geotiff/A 52560-2021 georefererad karta.tif", "A 52560-2021")</f>
        <v/>
      </c>
      <c r="AA67">
        <f>HYPERLINK("https://klasma.github.io/Logging_1460/klagomål/A 52560-2021 FSC-klagomål.docx", "A 52560-2021")</f>
        <v/>
      </c>
      <c r="AB67">
        <f>HYPERLINK("https://klasma.github.io/Logging_1460/klagomålsmail/A 52560-2021 FSC-klagomål mail.docx", "A 52560-2021")</f>
        <v/>
      </c>
      <c r="AC67">
        <f>HYPERLINK("https://klasma.github.io/Logging_1460/tillsyn/A 52560-2021 tillsynsbegäran.docx", "A 52560-2021")</f>
        <v/>
      </c>
      <c r="AD67">
        <f>HYPERLINK("https://klasma.github.io/Logging_1460/tillsynsmail/A 52560-2021 tillsynsbegäran mail.docx", "A 52560-2021")</f>
        <v/>
      </c>
    </row>
    <row r="68" ht="15" customHeight="1">
      <c r="A68" t="inlineStr">
        <is>
          <t>A 7325-2026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46257</v>
      </c>
      <c r="F68" t="inlineStr">
        <is>
          <t>VÄSTRA GÖTALANDS LÄN</t>
        </is>
      </c>
      <c r="G68" t="inlineStr">
        <is>
          <t>BENGTSFORS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Kattfotslav</t>
        </is>
      </c>
      <c r="W68">
        <f>HYPERLINK("https://klasma.github.io/Logging_1460/artfynd/A 7325-2026 artfynd.xlsx", "A 7325-2026")</f>
        <v/>
      </c>
      <c r="X68">
        <f>HYPERLINK("https://klasma.github.io/Logging_1460/kartor/A 7325-2026 karta.png", "A 7325-2026")</f>
        <v/>
      </c>
      <c r="Y68">
        <f>HYPERLINK("https://klasma.github.io/Logging_1460/kartor_geotiff/A 7325-2026 georefererad karta.tif", "A 7325-2026")</f>
        <v/>
      </c>
      <c r="AA68">
        <f>HYPERLINK("https://klasma.github.io/Logging_1460/klagomål/A 7325-2026 FSC-klagomål.docx", "A 7325-2026")</f>
        <v/>
      </c>
      <c r="AB68">
        <f>HYPERLINK("https://klasma.github.io/Logging_1460/klagomålsmail/A 7325-2026 FSC-klagomål mail.docx", "A 7325-2026")</f>
        <v/>
      </c>
      <c r="AC68">
        <f>HYPERLINK("https://klasma.github.io/Logging_1460/tillsyn/A 7325-2026 tillsynsbegäran.docx", "A 7325-2026")</f>
        <v/>
      </c>
      <c r="AD68">
        <f>HYPERLINK("https://klasma.github.io/Logging_1460/tillsynsmail/A 7325-2026 tillsynsbegäran mail.docx", "A 7325-2026")</f>
        <v/>
      </c>
    </row>
    <row r="69" ht="15" customHeight="1">
      <c r="A69" t="inlineStr">
        <is>
          <t>A 8256-2026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46257</v>
      </c>
      <c r="F69" t="inlineStr">
        <is>
          <t>VÄSTRA GÖTALANDS LÄN</t>
        </is>
      </c>
      <c r="G69" t="inlineStr">
        <is>
          <t>BENGTSFORS</t>
        </is>
      </c>
      <c r="H69" t="inlineStr">
        <is>
          <t>Kyrkan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 klibbskivling</t>
        </is>
      </c>
      <c r="W69">
        <f>HYPERLINK("https://klasma.github.io/Logging_1460/artfynd/A 8256-2026 artfynd.xlsx", "A 8256-2026")</f>
        <v/>
      </c>
      <c r="X69">
        <f>HYPERLINK("https://klasma.github.io/Logging_1460/kartor/A 8256-2026 karta.png", "A 8256-2026")</f>
        <v/>
      </c>
      <c r="Y69">
        <f>HYPERLINK("https://klasma.github.io/Logging_1460/kartor_geotiff/A 8256-2026 georefererad karta.tif", "A 8256-2026")</f>
        <v/>
      </c>
      <c r="AA69">
        <f>HYPERLINK("https://klasma.github.io/Logging_1460/klagomål/A 8256-2026 FSC-klagomål.docx", "A 8256-2026")</f>
        <v/>
      </c>
      <c r="AB69">
        <f>HYPERLINK("https://klasma.github.io/Logging_1460/klagomålsmail/A 8256-2026 FSC-klagomål mail.docx", "A 8256-2026")</f>
        <v/>
      </c>
      <c r="AC69">
        <f>HYPERLINK("https://klasma.github.io/Logging_1460/tillsyn/A 8256-2026 tillsynsbegäran.docx", "A 8256-2026")</f>
        <v/>
      </c>
      <c r="AD69">
        <f>HYPERLINK("https://klasma.github.io/Logging_1460/tillsynsmail/A 8256-2026 tillsynsbegäran mail.docx", "A 8256-2026")</f>
        <v/>
      </c>
    </row>
    <row r="70" ht="15" customHeight="1">
      <c r="A70" t="inlineStr">
        <is>
          <t>A 29204-2022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46257</v>
      </c>
      <c r="F70" t="inlineStr">
        <is>
          <t>VÄSTRA GÖTALANDS LÄN</t>
        </is>
      </c>
      <c r="G70" t="inlineStr">
        <is>
          <t>BENGTSFORS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29204-2022 artfynd.xlsx", "A 29204-2022")</f>
        <v/>
      </c>
      <c r="X70">
        <f>HYPERLINK("https://klasma.github.io/Logging_1460/kartor/A 29204-2022 karta.png", "A 29204-2022")</f>
        <v/>
      </c>
      <c r="Y70">
        <f>HYPERLINK("https://klasma.github.io/Logging_1460/kartor_geotiff/A 29204-2022 georefererad karta.tif", "A 29204-2022")</f>
        <v/>
      </c>
      <c r="AA70">
        <f>HYPERLINK("https://klasma.github.io/Logging_1460/klagomål/A 29204-2022 FSC-klagomål.docx", "A 29204-2022")</f>
        <v/>
      </c>
      <c r="AB70">
        <f>HYPERLINK("https://klasma.github.io/Logging_1460/klagomålsmail/A 29204-2022 FSC-klagomål mail.docx", "A 29204-2022")</f>
        <v/>
      </c>
      <c r="AC70">
        <f>HYPERLINK("https://klasma.github.io/Logging_1460/tillsyn/A 29204-2022 tillsynsbegäran.docx", "A 29204-2022")</f>
        <v/>
      </c>
      <c r="AD70">
        <f>HYPERLINK("https://klasma.github.io/Logging_1460/tillsynsmail/A 29204-2022 tillsynsbegäran mail.docx", "A 29204-2022")</f>
        <v/>
      </c>
      <c r="AE70">
        <f>HYPERLINK("https://klasma.github.io/Logging_1460/fåglar/A 29204-2022 prioriterade fågelarter.docx", "A 29204-2022")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46257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46257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46257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46257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46257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11751-2024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46257</v>
      </c>
      <c r="F76" t="inlineStr">
        <is>
          <t>VÄSTRA GÖTALANDS LÄN</t>
        </is>
      </c>
      <c r="G76" t="inlineStr">
        <is>
          <t>BENGTSFORS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Gråspett</t>
        </is>
      </c>
      <c r="W76">
        <f>HYPERLINK("https://klasma.github.io/Logging_1460/artfynd/A 11751-2024 artfynd.xlsx", "A 11751-2024")</f>
        <v/>
      </c>
      <c r="X76">
        <f>HYPERLINK("https://klasma.github.io/Logging_1460/kartor/A 11751-2024 karta.png", "A 11751-2024")</f>
        <v/>
      </c>
      <c r="Y76">
        <f>HYPERLINK("https://klasma.github.io/Logging_1460/kartor_geotiff/A 11751-2024 georefererad karta.tif", "A 11751-2024")</f>
        <v/>
      </c>
      <c r="AA76">
        <f>HYPERLINK("https://klasma.github.io/Logging_1460/klagomål/A 11751-2024 FSC-klagomål.docx", "A 11751-2024")</f>
        <v/>
      </c>
      <c r="AB76">
        <f>HYPERLINK("https://klasma.github.io/Logging_1460/klagomålsmail/A 11751-2024 FSC-klagomål mail.docx", "A 11751-2024")</f>
        <v/>
      </c>
      <c r="AC76">
        <f>HYPERLINK("https://klasma.github.io/Logging_1460/tillsyn/A 11751-2024 tillsynsbegäran.docx", "A 11751-2024")</f>
        <v/>
      </c>
      <c r="AD76">
        <f>HYPERLINK("https://klasma.github.io/Logging_1460/tillsynsmail/A 11751-2024 tillsynsbegäran mail.docx", "A 11751-2024")</f>
        <v/>
      </c>
      <c r="AE76">
        <f>HYPERLINK("https://klasma.github.io/Logging_1460/fåglar/A 11751-2024 prioriterade fågelarter.docx", "A 11751-2024")</f>
        <v/>
      </c>
    </row>
    <row r="77" ht="15" customHeight="1">
      <c r="A77" t="inlineStr">
        <is>
          <t>A 21300-2023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46257</v>
      </c>
      <c r="F77" t="inlineStr">
        <is>
          <t>VÄSTRA GÖTALANDS LÄN</t>
        </is>
      </c>
      <c r="G77" t="inlineStr">
        <is>
          <t>BENGTSFORS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HYPERLINK("https://klasma.github.io/Logging_1460/artfynd/A 21300-2023 artfynd.xlsx", "A 21300-2023")</f>
        <v/>
      </c>
      <c r="X77">
        <f>HYPERLINK("https://klasma.github.io/Logging_1460/kartor/A 21300-2023 karta.png", "A 21300-2023")</f>
        <v/>
      </c>
      <c r="Y77">
        <f>HYPERLINK("https://klasma.github.io/Logging_1460/kartor_geotiff/A 21300-2023 georefererad karta.tif", "A 21300-2023")</f>
        <v/>
      </c>
      <c r="AA77">
        <f>HYPERLINK("https://klasma.github.io/Logging_1460/klagomål/A 21300-2023 FSC-klagomål.docx", "A 21300-2023")</f>
        <v/>
      </c>
      <c r="AB77">
        <f>HYPERLINK("https://klasma.github.io/Logging_1460/klagomålsmail/A 21300-2023 FSC-klagomål mail.docx", "A 21300-2023")</f>
        <v/>
      </c>
      <c r="AC77">
        <f>HYPERLINK("https://klasma.github.io/Logging_1460/tillsyn/A 21300-2023 tillsynsbegäran.docx", "A 21300-2023")</f>
        <v/>
      </c>
      <c r="AD77">
        <f>HYPERLINK("https://klasma.github.io/Logging_1460/tillsynsmail/A 21300-2023 tillsynsbegäran mail.docx", "A 21300-2023")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46257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28783-2025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46257</v>
      </c>
      <c r="F79" t="inlineStr">
        <is>
          <t>VÄSTRA GÖTALANDS LÄN</t>
        </is>
      </c>
      <c r="G79" t="inlineStr">
        <is>
          <t>BENGTSFORS</t>
        </is>
      </c>
      <c r="I79" t="n">
        <v>2.2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HYPERLINK("https://klasma.github.io/Logging_1460/artfynd/A 28783-2025 artfynd.xlsx", "A 28783-2025")</f>
        <v/>
      </c>
      <c r="X79">
        <f>HYPERLINK("https://klasma.github.io/Logging_1460/kartor/A 28783-2025 karta.png", "A 28783-2025")</f>
        <v/>
      </c>
      <c r="Y79">
        <f>HYPERLINK("https://klasma.github.io/Logging_1460/kartor_geotiff/A 28783-2025 georefererad karta.tif", "A 28783-2025")</f>
        <v/>
      </c>
      <c r="AA79">
        <f>HYPERLINK("https://klasma.github.io/Logging_1460/klagomål/A 28783-2025 FSC-klagomål.docx", "A 28783-2025")</f>
        <v/>
      </c>
      <c r="AB79">
        <f>HYPERLINK("https://klasma.github.io/Logging_1460/klagomålsmail/A 28783-2025 FSC-klagomål mail.docx", "A 28783-2025")</f>
        <v/>
      </c>
      <c r="AC79">
        <f>HYPERLINK("https://klasma.github.io/Logging_1460/tillsyn/A 28783-2025 tillsynsbegäran.docx", "A 28783-2025")</f>
        <v/>
      </c>
      <c r="AD79">
        <f>HYPERLINK("https://klasma.github.io/Logging_1460/tillsynsmail/A 28783-2025 tillsynsbegäran mail.docx", "A 28783-2025")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46257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46257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46257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46257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46257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46257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46257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46257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46257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46257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46257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46257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46257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46257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46257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46257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46257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46257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46257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46257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46257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46257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46257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46257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46257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46257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46257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46257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46257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46257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46257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46257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46257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46257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46257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46257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46257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46257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46257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46257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46257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46257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46257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46257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46257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46257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46257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46257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46257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46257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46257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46257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46257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46257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46257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46257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46257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46257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46257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46257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46257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46257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46257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46257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46257</v>
      </c>
      <c r="F144" t="inlineStr">
        <is>
          <t>VÄSTRA GÖTALANDS LÄN</t>
        </is>
      </c>
      <c r="G144" t="inlineStr">
        <is>
          <t>BENGTSFORS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46257</v>
      </c>
      <c r="F145" t="inlineStr">
        <is>
          <t>VÄSTRA GÖTALANDS LÄN</t>
        </is>
      </c>
      <c r="G145" t="inlineStr">
        <is>
          <t>BENGTSFORS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46257</v>
      </c>
      <c r="F146" t="inlineStr">
        <is>
          <t>VÄSTRA GÖTALANDS LÄN</t>
        </is>
      </c>
      <c r="G146" t="inlineStr">
        <is>
          <t>BENGTSFORS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46257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46257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46257</v>
      </c>
      <c r="F149" t="inlineStr">
        <is>
          <t>VÄSTRA GÖTALANDS LÄN</t>
        </is>
      </c>
      <c r="G149" t="inlineStr">
        <is>
          <t>BENGTSFORS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45181</v>
      </c>
      <c r="E150" s="1" t="n">
        <v>46257</v>
      </c>
      <c r="F150" t="inlineStr">
        <is>
          <t>VÄSTRA GÖTALANDS LÄN</t>
        </is>
      </c>
      <c r="G150" t="inlineStr">
        <is>
          <t>BENGTSFORS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46257</v>
      </c>
      <c r="F151" t="inlineStr">
        <is>
          <t>VÄSTRA GÖTALANDS LÄN</t>
        </is>
      </c>
      <c r="G151" t="inlineStr">
        <is>
          <t>BENGTSFORS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45151</v>
      </c>
      <c r="E152" s="1" t="n">
        <v>46257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46257</v>
      </c>
      <c r="F153" t="inlineStr">
        <is>
          <t>VÄSTRA GÖTALANDS LÄN</t>
        </is>
      </c>
      <c r="G153" t="inlineStr">
        <is>
          <t>BENGTSFORS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45151</v>
      </c>
      <c r="E154" s="1" t="n">
        <v>46257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46257</v>
      </c>
      <c r="F155" t="inlineStr">
        <is>
          <t>VÄSTRA GÖTALANDS LÄN</t>
        </is>
      </c>
      <c r="G155" t="inlineStr">
        <is>
          <t>BENGTSFORS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46257</v>
      </c>
      <c r="F156" t="inlineStr">
        <is>
          <t>VÄSTRA GÖTALANDS LÄN</t>
        </is>
      </c>
      <c r="G156" t="inlineStr">
        <is>
          <t>BENGTSFORS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46257</v>
      </c>
      <c r="F157" t="inlineStr">
        <is>
          <t>VÄSTRA GÖTALANDS LÄN</t>
        </is>
      </c>
      <c r="G157" t="inlineStr">
        <is>
          <t>BENGTSFORS</t>
        </is>
      </c>
      <c r="H157" t="inlineStr">
        <is>
          <t>Kyrkan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46257</v>
      </c>
      <c r="F158" t="inlineStr">
        <is>
          <t>VÄSTRA GÖTALANDS LÄN</t>
        </is>
      </c>
      <c r="G158" t="inlineStr">
        <is>
          <t>BENGTSFORS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46257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46257</v>
      </c>
      <c r="F160" t="inlineStr">
        <is>
          <t>VÄSTRA GÖTALANDS LÄN</t>
        </is>
      </c>
      <c r="G160" t="inlineStr">
        <is>
          <t>BENGTSFORS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40295-2022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44821</v>
      </c>
      <c r="E161" s="1" t="n">
        <v>46257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46257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Övriga Aktiebolag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46257</v>
      </c>
      <c r="F163" t="inlineStr">
        <is>
          <t>VÄSTRA GÖTALANDS LÄN</t>
        </is>
      </c>
      <c r="G163" t="inlineStr">
        <is>
          <t>BENGTSFORS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46257</v>
      </c>
      <c r="F164" t="inlineStr">
        <is>
          <t>VÄSTRA GÖTALANDS LÄN</t>
        </is>
      </c>
      <c r="G164" t="inlineStr">
        <is>
          <t>BENGTSFORS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44497</v>
      </c>
      <c r="E165" s="1" t="n">
        <v>46257</v>
      </c>
      <c r="F165" t="inlineStr">
        <is>
          <t>VÄSTRA GÖTALANDS LÄN</t>
        </is>
      </c>
      <c r="G165" t="inlineStr">
        <is>
          <t>BENGTSFORS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46257</v>
      </c>
      <c r="F166" t="inlineStr">
        <is>
          <t>VÄSTRA GÖTALANDS LÄN</t>
        </is>
      </c>
      <c r="G166" t="inlineStr">
        <is>
          <t>BENGTSFORS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46257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Övriga Aktiebolag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46257</v>
      </c>
      <c r="F168" t="inlineStr">
        <is>
          <t>VÄSTRA GÖTALANDS LÄN</t>
        </is>
      </c>
      <c r="G168" t="inlineStr">
        <is>
          <t>BENGTSFORS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46257</v>
      </c>
      <c r="F169" t="inlineStr">
        <is>
          <t>VÄSTRA GÖTALANDS LÄN</t>
        </is>
      </c>
      <c r="G169" t="inlineStr">
        <is>
          <t>BENGTSFORS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46257</v>
      </c>
      <c r="F170" t="inlineStr">
        <is>
          <t>VÄSTRA GÖTALANDS LÄN</t>
        </is>
      </c>
      <c r="G170" t="inlineStr">
        <is>
          <t>BENGTSFORS</t>
        </is>
      </c>
      <c r="I170" t="n">
        <v>12.1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46257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46257</v>
      </c>
      <c r="F172" t="inlineStr">
        <is>
          <t>VÄSTRA GÖTALANDS LÄN</t>
        </is>
      </c>
      <c r="G172" t="inlineStr">
        <is>
          <t>BENGTSFORS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46257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46257</v>
      </c>
      <c r="F174" t="inlineStr">
        <is>
          <t>VÄSTRA GÖTALANDS LÄN</t>
        </is>
      </c>
      <c r="G174" t="inlineStr">
        <is>
          <t>BENGTSFORS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46257</v>
      </c>
      <c r="F175" t="inlineStr">
        <is>
          <t>VÄSTRA GÖTALANDS LÄN</t>
        </is>
      </c>
      <c r="G175" t="inlineStr">
        <is>
          <t>BENGTSFORS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46257</v>
      </c>
      <c r="F176" t="inlineStr">
        <is>
          <t>VÄSTRA GÖTALANDS LÄN</t>
        </is>
      </c>
      <c r="G176" t="inlineStr">
        <is>
          <t>BENGTSFORS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46257</v>
      </c>
      <c r="F177" t="inlineStr">
        <is>
          <t>VÄSTRA GÖTALANDS LÄN</t>
        </is>
      </c>
      <c r="G177" t="inlineStr">
        <is>
          <t>BENGTSFORS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46257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44750</v>
      </c>
      <c r="E179" s="1" t="n">
        <v>46257</v>
      </c>
      <c r="F179" t="inlineStr">
        <is>
          <t>VÄSTRA GÖTALANDS LÄN</t>
        </is>
      </c>
      <c r="G179" t="inlineStr">
        <is>
          <t>BENGTSFORS</t>
        </is>
      </c>
      <c r="I179" t="n">
        <v>22.1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44513</v>
      </c>
      <c r="E180" s="1" t="n">
        <v>46257</v>
      </c>
      <c r="F180" t="inlineStr">
        <is>
          <t>VÄSTRA GÖTALANDS LÄN</t>
        </is>
      </c>
      <c r="G180" t="inlineStr">
        <is>
          <t>BENGTSFORS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46257</v>
      </c>
      <c r="F181" t="inlineStr">
        <is>
          <t>VÄSTRA GÖTALANDS LÄN</t>
        </is>
      </c>
      <c r="G181" t="inlineStr">
        <is>
          <t>BENGTSFORS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39607-2025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45890</v>
      </c>
      <c r="E182" s="1" t="n">
        <v>46257</v>
      </c>
      <c r="F182" t="inlineStr">
        <is>
          <t>VÄSTRA GÖTALANDS LÄN</t>
        </is>
      </c>
      <c r="G182" t="inlineStr">
        <is>
          <t>BENGTSFORS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46257</v>
      </c>
      <c r="F183" t="inlineStr">
        <is>
          <t>VÄSTRA GÖTALANDS LÄN</t>
        </is>
      </c>
      <c r="G183" t="inlineStr">
        <is>
          <t>BENGTSFORS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46257</v>
      </c>
      <c r="F184" t="inlineStr">
        <is>
          <t>VÄSTRA GÖTALANDS LÄN</t>
        </is>
      </c>
      <c r="G184" t="inlineStr">
        <is>
          <t>BENGTSFORS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46257</v>
      </c>
      <c r="F185" t="inlineStr">
        <is>
          <t>VÄSTRA GÖTALANDS LÄN</t>
        </is>
      </c>
      <c r="G185" t="inlineStr">
        <is>
          <t>BENGTSFORS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46257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46257</v>
      </c>
      <c r="F187" t="inlineStr">
        <is>
          <t>VÄSTRA GÖTALANDS LÄN</t>
        </is>
      </c>
      <c r="G187" t="inlineStr">
        <is>
          <t>BENGTSFORS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46257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46257</v>
      </c>
      <c r="F189" t="inlineStr">
        <is>
          <t>VÄSTRA GÖTALANDS LÄN</t>
        </is>
      </c>
      <c r="G189" t="inlineStr">
        <is>
          <t>BENGTSFORS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45663</v>
      </c>
      <c r="E190" s="1" t="n">
        <v>46257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46257</v>
      </c>
      <c r="F191" t="inlineStr">
        <is>
          <t>VÄSTRA GÖTALANDS LÄN</t>
        </is>
      </c>
      <c r="G191" t="inlineStr">
        <is>
          <t>BENGTSFORS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46257</v>
      </c>
      <c r="F192" t="inlineStr">
        <is>
          <t>VÄSTRA GÖTALANDS LÄN</t>
        </is>
      </c>
      <c r="G192" t="inlineStr">
        <is>
          <t>BENGTSFORS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46257</v>
      </c>
      <c r="F193" t="inlineStr">
        <is>
          <t>VÄSTRA GÖTALANDS LÄN</t>
        </is>
      </c>
      <c r="G193" t="inlineStr">
        <is>
          <t>BENGTSFORS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46257</v>
      </c>
      <c r="F194" t="inlineStr">
        <is>
          <t>VÄSTRA GÖTALANDS LÄN</t>
        </is>
      </c>
      <c r="G194" t="inlineStr">
        <is>
          <t>BENGTSFORS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46257</v>
      </c>
      <c r="F195" t="inlineStr">
        <is>
          <t>VÄSTRA GÖTALANDS LÄN</t>
        </is>
      </c>
      <c r="G195" t="inlineStr">
        <is>
          <t>BENGTSFORS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46257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46257</v>
      </c>
      <c r="F197" t="inlineStr">
        <is>
          <t>VÄSTRA GÖTALANDS LÄN</t>
        </is>
      </c>
      <c r="G197" t="inlineStr">
        <is>
          <t>BENGTSFORS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45663</v>
      </c>
      <c r="E198" s="1" t="n">
        <v>46257</v>
      </c>
      <c r="F198" t="inlineStr">
        <is>
          <t>VÄSTRA GÖTALANDS LÄN</t>
        </is>
      </c>
      <c r="G198" t="inlineStr">
        <is>
          <t>BENGTSFORS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46257</v>
      </c>
      <c r="F199" t="inlineStr">
        <is>
          <t>VÄSTRA GÖTALANDS LÄN</t>
        </is>
      </c>
      <c r="G199" t="inlineStr">
        <is>
          <t>BENGTSFORS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46257</v>
      </c>
      <c r="F200" t="inlineStr">
        <is>
          <t>VÄSTRA GÖTALANDS LÄN</t>
        </is>
      </c>
      <c r="G200" t="inlineStr">
        <is>
          <t>BENGTSFORS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46257</v>
      </c>
      <c r="F201" t="inlineStr">
        <is>
          <t>VÄSTRA GÖTALANDS LÄN</t>
        </is>
      </c>
      <c r="G201" t="inlineStr">
        <is>
          <t>BENGTSFORS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46257</v>
      </c>
      <c r="F202" t="inlineStr">
        <is>
          <t>VÄSTRA GÖTALANDS LÄN</t>
        </is>
      </c>
      <c r="G202" t="inlineStr">
        <is>
          <t>BENGTSFORS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46257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46257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46257</v>
      </c>
      <c r="F205" t="inlineStr">
        <is>
          <t>VÄSTRA GÖTALANDS LÄN</t>
        </is>
      </c>
      <c r="G205" t="inlineStr">
        <is>
          <t>BENGTSFORS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46257</v>
      </c>
      <c r="F206" t="inlineStr">
        <is>
          <t>VÄSTRA GÖTALANDS LÄN</t>
        </is>
      </c>
      <c r="G206" t="inlineStr">
        <is>
          <t>BENGTSFORS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46257</v>
      </c>
      <c r="F207" t="inlineStr">
        <is>
          <t>VÄSTRA GÖTALANDS LÄN</t>
        </is>
      </c>
      <c r="G207" t="inlineStr">
        <is>
          <t>BENGTSFORS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44956</v>
      </c>
      <c r="E208" s="1" t="n">
        <v>46257</v>
      </c>
      <c r="F208" t="inlineStr">
        <is>
          <t>VÄSTRA GÖTALANDS LÄN</t>
        </is>
      </c>
      <c r="G208" t="inlineStr">
        <is>
          <t>BENGTSFORS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46257</v>
      </c>
      <c r="F209" t="inlineStr">
        <is>
          <t>VÄSTRA GÖTALANDS LÄN</t>
        </is>
      </c>
      <c r="G209" t="inlineStr">
        <is>
          <t>BENGTSFORS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46257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46257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23407-2023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45076</v>
      </c>
      <c r="E212" s="1" t="n">
        <v>46257</v>
      </c>
      <c r="F212" t="inlineStr">
        <is>
          <t>VÄSTRA GÖTALANDS LÄN</t>
        </is>
      </c>
      <c r="G212" t="inlineStr">
        <is>
          <t>BENGTSFORS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46257</v>
      </c>
      <c r="F213" t="inlineStr">
        <is>
          <t>VÄSTRA GÖTALANDS LÄN</t>
        </is>
      </c>
      <c r="G213" t="inlineStr">
        <is>
          <t>BENGTSFORS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46257</v>
      </c>
      <c r="F214" t="inlineStr">
        <is>
          <t>VÄSTRA GÖTALANDS LÄN</t>
        </is>
      </c>
      <c r="G214" t="inlineStr">
        <is>
          <t>BENGTSFORS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46257</v>
      </c>
      <c r="F215" t="inlineStr">
        <is>
          <t>VÄSTRA GÖTALANDS LÄN</t>
        </is>
      </c>
      <c r="G215" t="inlineStr">
        <is>
          <t>BENGTSFORS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46257</v>
      </c>
      <c r="F216" t="inlineStr">
        <is>
          <t>VÄSTRA GÖTALANDS LÄN</t>
        </is>
      </c>
      <c r="G216" t="inlineStr">
        <is>
          <t>BENGTSFORS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46257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46257</v>
      </c>
      <c r="F218" t="inlineStr">
        <is>
          <t>VÄSTRA GÖTALANDS LÄN</t>
        </is>
      </c>
      <c r="G218" t="inlineStr">
        <is>
          <t>BENGTSFORS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46257</v>
      </c>
      <c r="F219" t="inlineStr">
        <is>
          <t>VÄSTRA GÖTALANDS LÄN</t>
        </is>
      </c>
      <c r="G219" t="inlineStr">
        <is>
          <t>BENGTSFORS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46257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44692</v>
      </c>
      <c r="E221" s="1" t="n">
        <v>46257</v>
      </c>
      <c r="F221" t="inlineStr">
        <is>
          <t>VÄSTRA GÖTALANDS LÄN</t>
        </is>
      </c>
      <c r="G221" t="inlineStr">
        <is>
          <t>BENGTSFORS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46257</v>
      </c>
      <c r="F222" t="inlineStr">
        <is>
          <t>VÄSTRA GÖTALANDS LÄN</t>
        </is>
      </c>
      <c r="G222" t="inlineStr">
        <is>
          <t>BENGTSFORS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46257</v>
      </c>
      <c r="F223" t="inlineStr">
        <is>
          <t>VÄSTRA GÖTALANDS LÄN</t>
        </is>
      </c>
      <c r="G223" t="inlineStr">
        <is>
          <t>BENGTSFORS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46257</v>
      </c>
      <c r="F224" t="inlineStr">
        <is>
          <t>VÄSTRA GÖTALANDS LÄN</t>
        </is>
      </c>
      <c r="G224" t="inlineStr">
        <is>
          <t>BENGTSFORS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45914</v>
      </c>
      <c r="E225" s="1" t="n">
        <v>46257</v>
      </c>
      <c r="F225" t="inlineStr">
        <is>
          <t>VÄSTRA GÖTALANDS LÄN</t>
        </is>
      </c>
      <c r="G225" t="inlineStr">
        <is>
          <t>BENGTSFORS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46257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Kyrkan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46257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46257</v>
      </c>
      <c r="F228" t="inlineStr">
        <is>
          <t>VÄSTRA GÖTALANDS LÄN</t>
        </is>
      </c>
      <c r="G228" t="inlineStr">
        <is>
          <t>BENGTSFORS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46257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46257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46257</v>
      </c>
      <c r="F231" t="inlineStr">
        <is>
          <t>VÄSTRA GÖTALANDS LÄN</t>
        </is>
      </c>
      <c r="G231" t="inlineStr">
        <is>
          <t>BENGTSFORS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46257</v>
      </c>
      <c r="F232" t="inlineStr">
        <is>
          <t>VÄSTRA GÖTALANDS LÄN</t>
        </is>
      </c>
      <c r="G232" t="inlineStr">
        <is>
          <t>BENGTSFORS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46257</v>
      </c>
      <c r="F233" t="inlineStr">
        <is>
          <t>VÄSTRA GÖTALANDS LÄN</t>
        </is>
      </c>
      <c r="G233" t="inlineStr">
        <is>
          <t>BENGTSFORS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44599</v>
      </c>
      <c r="E234" s="1" t="n">
        <v>46257</v>
      </c>
      <c r="F234" t="inlineStr">
        <is>
          <t>VÄSTRA GÖTALANDS LÄN</t>
        </is>
      </c>
      <c r="G234" t="inlineStr">
        <is>
          <t>BENGTSFORS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45307</v>
      </c>
      <c r="E235" s="1" t="n">
        <v>46257</v>
      </c>
      <c r="F235" t="inlineStr">
        <is>
          <t>VÄSTRA GÖTALANDS LÄN</t>
        </is>
      </c>
      <c r="G235" t="inlineStr">
        <is>
          <t>BENGTSFORS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46257</v>
      </c>
      <c r="F236" t="inlineStr">
        <is>
          <t>VÄSTRA GÖTALANDS LÄN</t>
        </is>
      </c>
      <c r="G236" t="inlineStr">
        <is>
          <t>BENGTSFORS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46257</v>
      </c>
      <c r="F237" t="inlineStr">
        <is>
          <t>VÄSTRA GÖTALANDS LÄN</t>
        </is>
      </c>
      <c r="G237" t="inlineStr">
        <is>
          <t>BENGTSFORS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46257</v>
      </c>
      <c r="F238" t="inlineStr">
        <is>
          <t>VÄSTRA GÖTALANDS LÄN</t>
        </is>
      </c>
      <c r="G238" t="inlineStr">
        <is>
          <t>BENGTSFORS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46257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46257</v>
      </c>
      <c r="F240" t="inlineStr">
        <is>
          <t>VÄSTRA GÖTALANDS LÄN</t>
        </is>
      </c>
      <c r="G240" t="inlineStr">
        <is>
          <t>BENGTSFORS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46257</v>
      </c>
      <c r="F241" t="inlineStr">
        <is>
          <t>VÄSTRA GÖTALANDS LÄN</t>
        </is>
      </c>
      <c r="G241" t="inlineStr">
        <is>
          <t>BENGTSFORS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46257</v>
      </c>
      <c r="F242" t="inlineStr">
        <is>
          <t>VÄSTRA GÖTALANDS LÄN</t>
        </is>
      </c>
      <c r="G242" t="inlineStr">
        <is>
          <t>BENGTSFORS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44830</v>
      </c>
      <c r="E243" s="1" t="n">
        <v>46257</v>
      </c>
      <c r="F243" t="inlineStr">
        <is>
          <t>VÄSTRA GÖTALANDS LÄN</t>
        </is>
      </c>
      <c r="G243" t="inlineStr">
        <is>
          <t>BENGTSFORS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46257</v>
      </c>
      <c r="F244" t="inlineStr">
        <is>
          <t>VÄSTRA GÖTALANDS LÄN</t>
        </is>
      </c>
      <c r="G244" t="inlineStr">
        <is>
          <t>BENGTSFORS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45643</v>
      </c>
      <c r="E245" s="1" t="n">
        <v>46257</v>
      </c>
      <c r="F245" t="inlineStr">
        <is>
          <t>VÄSTRA GÖTALANDS LÄN</t>
        </is>
      </c>
      <c r="G245" t="inlineStr">
        <is>
          <t>BENGTSFORS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46257</v>
      </c>
      <c r="F246" t="inlineStr">
        <is>
          <t>VÄSTRA GÖTALANDS LÄN</t>
        </is>
      </c>
      <c r="G246" t="inlineStr">
        <is>
          <t>BENGTSFORS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46257</v>
      </c>
      <c r="F247" t="inlineStr">
        <is>
          <t>VÄSTRA GÖTALANDS LÄN</t>
        </is>
      </c>
      <c r="G247" t="inlineStr">
        <is>
          <t>BENGTSFORS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46257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46257</v>
      </c>
      <c r="F249" t="inlineStr">
        <is>
          <t>VÄSTRA GÖTALANDS LÄN</t>
        </is>
      </c>
      <c r="G249" t="inlineStr">
        <is>
          <t>BENGTSFORS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46257</v>
      </c>
      <c r="F250" t="inlineStr">
        <is>
          <t>VÄSTRA GÖTALANDS LÄN</t>
        </is>
      </c>
      <c r="G250" t="inlineStr">
        <is>
          <t>BENGTSFORS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46257</v>
      </c>
      <c r="F251" t="inlineStr">
        <is>
          <t>VÄSTRA GÖTALANDS LÄN</t>
        </is>
      </c>
      <c r="G251" t="inlineStr">
        <is>
          <t>BENGTSFORS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46257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44918</v>
      </c>
      <c r="E253" s="1" t="n">
        <v>46257</v>
      </c>
      <c r="F253" t="inlineStr">
        <is>
          <t>VÄSTRA GÖTALANDS LÄN</t>
        </is>
      </c>
      <c r="G253" t="inlineStr">
        <is>
          <t>BENGTSFORS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44698</v>
      </c>
      <c r="E254" s="1" t="n">
        <v>46257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46257</v>
      </c>
      <c r="F255" t="inlineStr">
        <is>
          <t>VÄSTRA GÖTALANDS LÄN</t>
        </is>
      </c>
      <c r="G255" t="inlineStr">
        <is>
          <t>BENGTSFORS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46257</v>
      </c>
      <c r="F256" t="inlineStr">
        <is>
          <t>VÄSTRA GÖTALANDS LÄN</t>
        </is>
      </c>
      <c r="G256" t="inlineStr">
        <is>
          <t>BENGTSFORS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46257</v>
      </c>
      <c r="F257" t="inlineStr">
        <is>
          <t>VÄSTRA GÖTALANDS LÄN</t>
        </is>
      </c>
      <c r="G257" t="inlineStr">
        <is>
          <t>BENGTSFORS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45050</v>
      </c>
      <c r="E258" s="1" t="n">
        <v>46257</v>
      </c>
      <c r="F258" t="inlineStr">
        <is>
          <t>VÄSTRA GÖTALANDS LÄN</t>
        </is>
      </c>
      <c r="G258" t="inlineStr">
        <is>
          <t>BENGTSFORS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46257</v>
      </c>
      <c r="F259" t="inlineStr">
        <is>
          <t>VÄSTRA GÖTALANDS LÄN</t>
        </is>
      </c>
      <c r="G259" t="inlineStr">
        <is>
          <t>BENGTSFORS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46257</v>
      </c>
      <c r="F260" t="inlineStr">
        <is>
          <t>VÄSTRA GÖTALANDS LÄN</t>
        </is>
      </c>
      <c r="G260" t="inlineStr">
        <is>
          <t>BENGTSFORS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46257</v>
      </c>
      <c r="F261" t="inlineStr">
        <is>
          <t>VÄSTRA GÖTALANDS LÄN</t>
        </is>
      </c>
      <c r="G261" t="inlineStr">
        <is>
          <t>BENGTSFORS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45405</v>
      </c>
      <c r="E262" s="1" t="n">
        <v>46257</v>
      </c>
      <c r="F262" t="inlineStr">
        <is>
          <t>VÄSTRA GÖTALANDS LÄN</t>
        </is>
      </c>
      <c r="G262" t="inlineStr">
        <is>
          <t>BENGTSFORS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45313</v>
      </c>
      <c r="E263" s="1" t="n">
        <v>46257</v>
      </c>
      <c r="F263" t="inlineStr">
        <is>
          <t>VÄSTRA GÖTALANDS LÄN</t>
        </is>
      </c>
      <c r="G263" t="inlineStr">
        <is>
          <t>BENGTSFORS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45407</v>
      </c>
      <c r="E264" s="1" t="n">
        <v>46257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46257</v>
      </c>
      <c r="F265" t="inlineStr">
        <is>
          <t>VÄSTRA GÖTALANDS LÄN</t>
        </is>
      </c>
      <c r="G265" t="inlineStr">
        <is>
          <t>BENGTSFORS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46257</v>
      </c>
      <c r="F266" t="inlineStr">
        <is>
          <t>VÄSTRA GÖTALANDS LÄN</t>
        </is>
      </c>
      <c r="G266" t="inlineStr">
        <is>
          <t>BENGTSFORS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46257</v>
      </c>
      <c r="F267" t="inlineStr">
        <is>
          <t>VÄSTRA GÖTALANDS LÄN</t>
        </is>
      </c>
      <c r="G267" t="inlineStr">
        <is>
          <t>BENGTSFORS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44831</v>
      </c>
      <c r="E268" s="1" t="n">
        <v>46257</v>
      </c>
      <c r="F268" t="inlineStr">
        <is>
          <t>VÄSTRA GÖTALANDS LÄN</t>
        </is>
      </c>
      <c r="G268" t="inlineStr">
        <is>
          <t>BENGTSFORS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47892-2022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46257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46257</v>
      </c>
      <c r="F270" t="inlineStr">
        <is>
          <t>VÄSTRA GÖTALANDS LÄN</t>
        </is>
      </c>
      <c r="G270" t="inlineStr">
        <is>
          <t>BENGTSFORS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46257</v>
      </c>
      <c r="F271" t="inlineStr">
        <is>
          <t>VÄSTRA GÖTALANDS LÄN</t>
        </is>
      </c>
      <c r="G271" t="inlineStr">
        <is>
          <t>BENGTSFORS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46257</v>
      </c>
      <c r="F272" t="inlineStr">
        <is>
          <t>VÄSTRA GÖTALANDS LÄN</t>
        </is>
      </c>
      <c r="G272" t="inlineStr">
        <is>
          <t>BENGTSFORS</t>
        </is>
      </c>
      <c r="H272" t="inlineStr">
        <is>
          <t>Övriga Aktiebolag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46257</v>
      </c>
      <c r="F273" t="inlineStr">
        <is>
          <t>VÄSTRA GÖTALANDS LÄN</t>
        </is>
      </c>
      <c r="G273" t="inlineStr">
        <is>
          <t>BENGTSFORS</t>
        </is>
      </c>
      <c r="H273" t="inlineStr">
        <is>
          <t>Övriga Aktiebolag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46257</v>
      </c>
      <c r="F274" t="inlineStr">
        <is>
          <t>VÄSTRA GÖTALANDS LÄN</t>
        </is>
      </c>
      <c r="G274" t="inlineStr">
        <is>
          <t>BENGTSFORS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46257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46257</v>
      </c>
      <c r="F276" t="inlineStr">
        <is>
          <t>VÄSTRA GÖTALANDS LÄN</t>
        </is>
      </c>
      <c r="G276" t="inlineStr">
        <is>
          <t>BENGTSFORS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46257</v>
      </c>
      <c r="F277" t="inlineStr">
        <is>
          <t>VÄSTRA GÖTALANDS LÄN</t>
        </is>
      </c>
      <c r="G277" t="inlineStr">
        <is>
          <t>BENGTSFORS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46257</v>
      </c>
      <c r="F278" t="inlineStr">
        <is>
          <t>VÄSTRA GÖTALANDS LÄN</t>
        </is>
      </c>
      <c r="G278" t="inlineStr">
        <is>
          <t>BENGTSFORS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46257</v>
      </c>
      <c r="F279" t="inlineStr">
        <is>
          <t>VÄSTRA GÖTALANDS LÄN</t>
        </is>
      </c>
      <c r="G279" t="inlineStr">
        <is>
          <t>BENGTSFORS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46257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46257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50487-2025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46257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46257</v>
      </c>
      <c r="F283" t="inlineStr">
        <is>
          <t>VÄSTRA GÖTALANDS LÄN</t>
        </is>
      </c>
      <c r="G283" t="inlineStr">
        <is>
          <t>BENGTSFORS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46257</v>
      </c>
      <c r="F284" t="inlineStr">
        <is>
          <t>VÄSTRA GÖTALANDS LÄN</t>
        </is>
      </c>
      <c r="G284" t="inlineStr">
        <is>
          <t>BENGTSFORS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43696-2021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44433</v>
      </c>
      <c r="E285" s="1" t="n">
        <v>46257</v>
      </c>
      <c r="F285" t="inlineStr">
        <is>
          <t>VÄSTRA GÖTALANDS LÄN</t>
        </is>
      </c>
      <c r="G285" t="inlineStr">
        <is>
          <t>BENGTSFORS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46257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46257</v>
      </c>
      <c r="F287" t="inlineStr">
        <is>
          <t>VÄSTRA GÖTALANDS LÄN</t>
        </is>
      </c>
      <c r="G287" t="inlineStr">
        <is>
          <t>BENGTSFORS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46257</v>
      </c>
      <c r="F288" t="inlineStr">
        <is>
          <t>VÄSTRA GÖTALANDS LÄN</t>
        </is>
      </c>
      <c r="G288" t="inlineStr">
        <is>
          <t>BENGTSFORS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46257</v>
      </c>
      <c r="F289" t="inlineStr">
        <is>
          <t>VÄSTRA GÖTALANDS LÄN</t>
        </is>
      </c>
      <c r="G289" t="inlineStr">
        <is>
          <t>BENGTSFORS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45370</v>
      </c>
      <c r="E290" s="1" t="n">
        <v>46257</v>
      </c>
      <c r="F290" t="inlineStr">
        <is>
          <t>VÄSTRA GÖTALANDS LÄN</t>
        </is>
      </c>
      <c r="G290" t="inlineStr">
        <is>
          <t>BENGTSFORS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46257</v>
      </c>
      <c r="F291" t="inlineStr">
        <is>
          <t>VÄSTRA GÖTALANDS LÄN</t>
        </is>
      </c>
      <c r="G291" t="inlineStr">
        <is>
          <t>BENGTSFORS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46323-2021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44442</v>
      </c>
      <c r="E292" s="1" t="n">
        <v>46257</v>
      </c>
      <c r="F292" t="inlineStr">
        <is>
          <t>VÄSTRA GÖTALANDS LÄN</t>
        </is>
      </c>
      <c r="G292" t="inlineStr">
        <is>
          <t>BENGTSFORS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46257</v>
      </c>
      <c r="F293" t="inlineStr">
        <is>
          <t>VÄSTRA GÖTALANDS LÄN</t>
        </is>
      </c>
      <c r="G293" t="inlineStr">
        <is>
          <t>BENGTSFORS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46257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14617-2022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44655</v>
      </c>
      <c r="E295" s="1" t="n">
        <v>46257</v>
      </c>
      <c r="F295" t="inlineStr">
        <is>
          <t>VÄSTRA GÖTALANDS LÄN</t>
        </is>
      </c>
      <c r="G295" t="inlineStr">
        <is>
          <t>BENGTSFORS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46257</v>
      </c>
      <c r="F296" t="inlineStr">
        <is>
          <t>VÄSTRA GÖTALANDS LÄN</t>
        </is>
      </c>
      <c r="G296" t="inlineStr">
        <is>
          <t>BENGTSFORS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46257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52952-2025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45957</v>
      </c>
      <c r="E298" s="1" t="n">
        <v>46257</v>
      </c>
      <c r="F298" t="inlineStr">
        <is>
          <t>VÄSTRA GÖTALANDS LÄN</t>
        </is>
      </c>
      <c r="G298" t="inlineStr">
        <is>
          <t>BENGTSFORS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46257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46257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46257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45151</v>
      </c>
      <c r="E302" s="1" t="n">
        <v>46257</v>
      </c>
      <c r="F302" t="inlineStr">
        <is>
          <t>VÄSTRA GÖTALANDS LÄN</t>
        </is>
      </c>
      <c r="G302" t="inlineStr">
        <is>
          <t>BENGTSFORS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46257</v>
      </c>
      <c r="F303" t="inlineStr">
        <is>
          <t>VÄSTRA GÖTALANDS LÄN</t>
        </is>
      </c>
      <c r="G303" t="inlineStr">
        <is>
          <t>BENGTSFORS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46257</v>
      </c>
      <c r="F304" t="inlineStr">
        <is>
          <t>VÄSTRA GÖTALANDS LÄN</t>
        </is>
      </c>
      <c r="G304" t="inlineStr">
        <is>
          <t>BENGTSFORS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46257</v>
      </c>
      <c r="F305" t="inlineStr">
        <is>
          <t>VÄSTRA GÖTALANDS LÄN</t>
        </is>
      </c>
      <c r="G305" t="inlineStr">
        <is>
          <t>BENGTSFORS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46257</v>
      </c>
      <c r="F306" t="inlineStr">
        <is>
          <t>VÄSTRA GÖTALANDS LÄN</t>
        </is>
      </c>
      <c r="G306" t="inlineStr">
        <is>
          <t>BENGTSFORS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46257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46257</v>
      </c>
      <c r="F308" t="inlineStr">
        <is>
          <t>VÄSTRA GÖTALANDS LÄN</t>
        </is>
      </c>
      <c r="G308" t="inlineStr">
        <is>
          <t>BENGTSFORS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54132-2025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45964</v>
      </c>
      <c r="E309" s="1" t="n">
        <v>46257</v>
      </c>
      <c r="F309" t="inlineStr">
        <is>
          <t>VÄSTRA GÖTALANDS LÄN</t>
        </is>
      </c>
      <c r="G309" t="inlineStr">
        <is>
          <t>BENGTSFORS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46257</v>
      </c>
      <c r="F310" t="inlineStr">
        <is>
          <t>VÄSTRA GÖTALANDS LÄN</t>
        </is>
      </c>
      <c r="G310" t="inlineStr">
        <is>
          <t>BENGTSFORS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45399</v>
      </c>
      <c r="E311" s="1" t="n">
        <v>46257</v>
      </c>
      <c r="F311" t="inlineStr">
        <is>
          <t>VÄSTRA GÖTALANDS LÄN</t>
        </is>
      </c>
      <c r="G311" t="inlineStr">
        <is>
          <t>BENGTSFORS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44637</v>
      </c>
      <c r="E312" s="1" t="n">
        <v>46257</v>
      </c>
      <c r="F312" t="inlineStr">
        <is>
          <t>VÄSTRA GÖTALANDS LÄN</t>
        </is>
      </c>
      <c r="G312" t="inlineStr">
        <is>
          <t>BENGTSFORS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46257</v>
      </c>
      <c r="F313" t="inlineStr">
        <is>
          <t>VÄSTRA GÖTALANDS LÄN</t>
        </is>
      </c>
      <c r="G313" t="inlineStr">
        <is>
          <t>BENGTSFORS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46257</v>
      </c>
      <c r="F314" t="inlineStr">
        <is>
          <t>VÄSTRA GÖTALANDS LÄN</t>
        </is>
      </c>
      <c r="G314" t="inlineStr">
        <is>
          <t>BENGTSFORS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45313</v>
      </c>
      <c r="E315" s="1" t="n">
        <v>46257</v>
      </c>
      <c r="F315" t="inlineStr">
        <is>
          <t>VÄSTRA GÖTALANDS LÄN</t>
        </is>
      </c>
      <c r="G315" t="inlineStr">
        <is>
          <t>BENGTSFORS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46257</v>
      </c>
      <c r="F316" t="inlineStr">
        <is>
          <t>VÄSTRA GÖTALANDS LÄN</t>
        </is>
      </c>
      <c r="G316" t="inlineStr">
        <is>
          <t>BENGTSFORS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46257</v>
      </c>
      <c r="F317" t="inlineStr">
        <is>
          <t>VÄSTRA GÖTALANDS LÄN</t>
        </is>
      </c>
      <c r="G317" t="inlineStr">
        <is>
          <t>BENGTSFORS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46257</v>
      </c>
      <c r="F318" t="inlineStr">
        <is>
          <t>VÄSTRA GÖTALANDS LÄN</t>
        </is>
      </c>
      <c r="G318" t="inlineStr">
        <is>
          <t>BENGTSFORS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46257</v>
      </c>
      <c r="F319" t="inlineStr">
        <is>
          <t>VÄSTRA GÖTALANDS LÄN</t>
        </is>
      </c>
      <c r="G319" t="inlineStr">
        <is>
          <t>BENGTSFORS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46257</v>
      </c>
      <c r="F320" t="inlineStr">
        <is>
          <t>VÄSTRA GÖTALANDS LÄN</t>
        </is>
      </c>
      <c r="G320" t="inlineStr">
        <is>
          <t>BENGTSFORS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46257</v>
      </c>
      <c r="F321" t="inlineStr">
        <is>
          <t>VÄSTRA GÖTALANDS LÄN</t>
        </is>
      </c>
      <c r="G321" t="inlineStr">
        <is>
          <t>BENGTSFORS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46257</v>
      </c>
      <c r="F322" t="inlineStr">
        <is>
          <t>VÄSTRA GÖTALANDS LÄN</t>
        </is>
      </c>
      <c r="G322" t="inlineStr">
        <is>
          <t>BENGTSFORS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45055</v>
      </c>
      <c r="E323" s="1" t="n">
        <v>46257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46257</v>
      </c>
      <c r="F324" t="inlineStr">
        <is>
          <t>VÄSTRA GÖTALANDS LÄN</t>
        </is>
      </c>
      <c r="G324" t="inlineStr">
        <is>
          <t>BENGTSFORS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44631</v>
      </c>
      <c r="E325" s="1" t="n">
        <v>46257</v>
      </c>
      <c r="F325" t="inlineStr">
        <is>
          <t>VÄSTRA GÖTALANDS LÄN</t>
        </is>
      </c>
      <c r="G325" t="inlineStr">
        <is>
          <t>BENGTSFORS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46257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25887-2024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45467</v>
      </c>
      <c r="E327" s="1" t="n">
        <v>46257</v>
      </c>
      <c r="F327" t="inlineStr">
        <is>
          <t>VÄSTRA GÖTALANDS LÄN</t>
        </is>
      </c>
      <c r="G327" t="inlineStr">
        <is>
          <t>BENGTSFORS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46257</v>
      </c>
      <c r="F328" t="inlineStr">
        <is>
          <t>VÄSTRA GÖTALANDS LÄN</t>
        </is>
      </c>
      <c r="G328" t="inlineStr">
        <is>
          <t>BENGTSFORS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46257</v>
      </c>
      <c r="F329" t="inlineStr">
        <is>
          <t>VÄSTRA GÖTALANDS LÄN</t>
        </is>
      </c>
      <c r="G329" t="inlineStr">
        <is>
          <t>BENGTSFORS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46257</v>
      </c>
      <c r="F330" t="inlineStr">
        <is>
          <t>VÄSTRA GÖTALANDS LÄN</t>
        </is>
      </c>
      <c r="G330" t="inlineStr">
        <is>
          <t>BENGTSFORS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43449-2022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44835</v>
      </c>
      <c r="E331" s="1" t="n">
        <v>46257</v>
      </c>
      <c r="F331" t="inlineStr">
        <is>
          <t>VÄSTRA GÖTALANDS LÄN</t>
        </is>
      </c>
      <c r="G331" t="inlineStr">
        <is>
          <t>BENGTSFORS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46257</v>
      </c>
      <c r="F332" t="inlineStr">
        <is>
          <t>VÄSTRA GÖTALANDS LÄN</t>
        </is>
      </c>
      <c r="G332" t="inlineStr">
        <is>
          <t>BENGTSFORS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46257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46257</v>
      </c>
      <c r="F334" t="inlineStr">
        <is>
          <t>VÄSTRA GÖTALANDS LÄN</t>
        </is>
      </c>
      <c r="G334" t="inlineStr">
        <is>
          <t>BENGTSFORS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46257</v>
      </c>
      <c r="F335" t="inlineStr">
        <is>
          <t>VÄSTRA GÖTALANDS LÄN</t>
        </is>
      </c>
      <c r="G335" t="inlineStr">
        <is>
          <t>BENGTSFORS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46257</v>
      </c>
      <c r="F336" t="inlineStr">
        <is>
          <t>VÄSTRA GÖTALANDS LÄN</t>
        </is>
      </c>
      <c r="G336" t="inlineStr">
        <is>
          <t>BENGTSFORS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44929</v>
      </c>
      <c r="E337" s="1" t="n">
        <v>46257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Kyrkan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46257</v>
      </c>
      <c r="F338" t="inlineStr">
        <is>
          <t>VÄSTRA GÖTALANDS LÄN</t>
        </is>
      </c>
      <c r="G338" t="inlineStr">
        <is>
          <t>BENGTSFORS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45772</v>
      </c>
      <c r="E339" s="1" t="n">
        <v>46257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59186-2023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46257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Kyrkan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46257</v>
      </c>
      <c r="F341" t="inlineStr">
        <is>
          <t>VÄSTRA GÖTALANDS LÄN</t>
        </is>
      </c>
      <c r="G341" t="inlineStr">
        <is>
          <t>BENGTSFORS</t>
        </is>
      </c>
      <c r="H341" t="inlineStr">
        <is>
          <t>Övriga Aktiebolag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46257</v>
      </c>
      <c r="F342" t="inlineStr">
        <is>
          <t>VÄSTRA GÖTALANDS LÄN</t>
        </is>
      </c>
      <c r="G342" t="inlineStr">
        <is>
          <t>BENGTSFORS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46257</v>
      </c>
      <c r="F343" t="inlineStr">
        <is>
          <t>VÄSTRA GÖTALANDS LÄN</t>
        </is>
      </c>
      <c r="G343" t="inlineStr">
        <is>
          <t>BENGTSFORS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46257</v>
      </c>
      <c r="F344" t="inlineStr">
        <is>
          <t>VÄSTRA GÖTALANDS LÄN</t>
        </is>
      </c>
      <c r="G344" t="inlineStr">
        <is>
          <t>BENGTSFORS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46257</v>
      </c>
      <c r="F345" t="inlineStr">
        <is>
          <t>VÄSTRA GÖTALANDS LÄN</t>
        </is>
      </c>
      <c r="G345" t="inlineStr">
        <is>
          <t>BENGTSFORS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60660-2023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45260</v>
      </c>
      <c r="E346" s="1" t="n">
        <v>46257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46257</v>
      </c>
      <c r="F347" t="inlineStr">
        <is>
          <t>VÄSTRA GÖTALANDS LÄN</t>
        </is>
      </c>
      <c r="G347" t="inlineStr">
        <is>
          <t>BENGTSFORS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46257</v>
      </c>
      <c r="F348" t="inlineStr">
        <is>
          <t>VÄSTRA GÖTALANDS LÄN</t>
        </is>
      </c>
      <c r="G348" t="inlineStr">
        <is>
          <t>BENGTSFORS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46257</v>
      </c>
      <c r="F349" t="inlineStr">
        <is>
          <t>VÄSTRA GÖTALANDS LÄN</t>
        </is>
      </c>
      <c r="G349" t="inlineStr">
        <is>
          <t>BENGTSFORS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46257</v>
      </c>
      <c r="F350" t="inlineStr">
        <is>
          <t>VÄSTRA GÖTALANDS LÄN</t>
        </is>
      </c>
      <c r="G350" t="inlineStr">
        <is>
          <t>BENGTSFORS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45446</v>
      </c>
      <c r="E351" s="1" t="n">
        <v>46257</v>
      </c>
      <c r="F351" t="inlineStr">
        <is>
          <t>VÄSTRA GÖTALANDS LÄN</t>
        </is>
      </c>
      <c r="G351" t="inlineStr">
        <is>
          <t>BENGTSFORS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46257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Kommuner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46257</v>
      </c>
      <c r="F353" t="inlineStr">
        <is>
          <t>VÄSTRA GÖTALANDS LÄN</t>
        </is>
      </c>
      <c r="G353" t="inlineStr">
        <is>
          <t>BENGTSFORS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45628</v>
      </c>
      <c r="E354" s="1" t="n">
        <v>46257</v>
      </c>
      <c r="F354" t="inlineStr">
        <is>
          <t>VÄSTRA GÖTALANDS LÄN</t>
        </is>
      </c>
      <c r="G354" t="inlineStr">
        <is>
          <t>BENGTSFORS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45766</v>
      </c>
      <c r="E355" s="1" t="n">
        <v>46257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46257</v>
      </c>
      <c r="F356" t="inlineStr">
        <is>
          <t>VÄSTRA GÖTALANDS LÄN</t>
        </is>
      </c>
      <c r="G356" t="inlineStr">
        <is>
          <t>BENGTSFORS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46257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45559</v>
      </c>
      <c r="E358" s="1" t="n">
        <v>46257</v>
      </c>
      <c r="F358" t="inlineStr">
        <is>
          <t>VÄSTRA GÖTALANDS LÄN</t>
        </is>
      </c>
      <c r="G358" t="inlineStr">
        <is>
          <t>BENGTSFORS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46257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Kyrkan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46257</v>
      </c>
      <c r="F360" t="inlineStr">
        <is>
          <t>VÄSTRA GÖTALANDS LÄN</t>
        </is>
      </c>
      <c r="G360" t="inlineStr">
        <is>
          <t>BENGTSFORS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46257</v>
      </c>
      <c r="F361" t="inlineStr">
        <is>
          <t>VÄSTRA GÖTALANDS LÄN</t>
        </is>
      </c>
      <c r="G361" t="inlineStr">
        <is>
          <t>BENGTSFORS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45992</v>
      </c>
      <c r="E362" s="1" t="n">
        <v>46257</v>
      </c>
      <c r="F362" t="inlineStr">
        <is>
          <t>VÄSTRA GÖTALANDS LÄN</t>
        </is>
      </c>
      <c r="G362" t="inlineStr">
        <is>
          <t>BENGTSFORS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59792-2025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46257</v>
      </c>
      <c r="F363" t="inlineStr">
        <is>
          <t>VÄSTRA GÖTALANDS LÄN</t>
        </is>
      </c>
      <c r="G363" t="inlineStr">
        <is>
          <t>BENGTSFORS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44943</v>
      </c>
      <c r="E364" s="1" t="n">
        <v>46257</v>
      </c>
      <c r="F364" t="inlineStr">
        <is>
          <t>VÄSTRA GÖTALANDS LÄN</t>
        </is>
      </c>
      <c r="G364" t="inlineStr">
        <is>
          <t>BENGTSFORS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46257</v>
      </c>
      <c r="F365" t="inlineStr">
        <is>
          <t>VÄSTRA GÖTALANDS LÄN</t>
        </is>
      </c>
      <c r="G365" t="inlineStr">
        <is>
          <t>BENGTSFORS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41024-2024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46257</v>
      </c>
      <c r="F366" t="inlineStr">
        <is>
          <t>VÄSTRA GÖTALANDS LÄN</t>
        </is>
      </c>
      <c r="G366" t="inlineStr">
        <is>
          <t>BENGTSFORS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46257</v>
      </c>
      <c r="F367" t="inlineStr">
        <is>
          <t>VÄSTRA GÖTALANDS LÄN</t>
        </is>
      </c>
      <c r="G367" t="inlineStr">
        <is>
          <t>BENGTSFORS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46257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45742</v>
      </c>
      <c r="E369" s="1" t="n">
        <v>46257</v>
      </c>
      <c r="F369" t="inlineStr">
        <is>
          <t>VÄSTRA GÖTALANDS LÄN</t>
        </is>
      </c>
      <c r="G369" t="inlineStr">
        <is>
          <t>BENGTSFORS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46257</v>
      </c>
      <c r="F370" t="inlineStr">
        <is>
          <t>VÄSTRA GÖTALANDS LÄN</t>
        </is>
      </c>
      <c r="G370" t="inlineStr">
        <is>
          <t>BENGTSFORS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45694</v>
      </c>
      <c r="E371" s="1" t="n">
        <v>46257</v>
      </c>
      <c r="F371" t="inlineStr">
        <is>
          <t>VÄSTRA GÖTALANDS LÄN</t>
        </is>
      </c>
      <c r="G371" t="inlineStr">
        <is>
          <t>BENGTSFORS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46257</v>
      </c>
      <c r="F372" t="inlineStr">
        <is>
          <t>VÄSTRA GÖTALANDS LÄN</t>
        </is>
      </c>
      <c r="G372" t="inlineStr">
        <is>
          <t>BENGTSFORS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46257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46257</v>
      </c>
      <c r="F374" t="inlineStr">
        <is>
          <t>VÄSTRA GÖTALANDS LÄN</t>
        </is>
      </c>
      <c r="G374" t="inlineStr">
        <is>
          <t>BENGTSFORS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46257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46257</v>
      </c>
      <c r="F376" t="inlineStr">
        <is>
          <t>VÄSTRA GÖTALANDS LÄN</t>
        </is>
      </c>
      <c r="G376" t="inlineStr">
        <is>
          <t>BENGTSFORS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46257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Övriga Aktiebolag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46257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Kyrkan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46257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46257</v>
      </c>
      <c r="F380" t="inlineStr">
        <is>
          <t>VÄSTRA GÖTALANDS LÄN</t>
        </is>
      </c>
      <c r="G380" t="inlineStr">
        <is>
          <t>BENGTSFORS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46257</v>
      </c>
      <c r="F381" t="inlineStr">
        <is>
          <t>VÄSTRA GÖTALANDS LÄN</t>
        </is>
      </c>
      <c r="G381" t="inlineStr">
        <is>
          <t>BENGTSFORS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46257</v>
      </c>
      <c r="F382" t="inlineStr">
        <is>
          <t>VÄSTRA GÖTALANDS LÄN</t>
        </is>
      </c>
      <c r="G382" t="inlineStr">
        <is>
          <t>BENGTSFORS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HYPERLINK("https://klasma.github.io/Logging_1460/knärot/A 4427-2024 karta knärot.png", "A 4427-2024")</f>
        <v/>
      </c>
      <c r="AA382">
        <f>HYPERLINK("https://klasma.github.io/Logging_1460/klagomål/A 4427-2024 FSC-klagomål.docx", "A 4427-2024")</f>
        <v/>
      </c>
      <c r="AB382">
        <f>HYPERLINK("https://klasma.github.io/Logging_1460/klagomålsmail/A 4427-2024 FSC-klagomål mail.docx", "A 4427-2024")</f>
        <v/>
      </c>
      <c r="AC382">
        <f>HYPERLINK("https://klasma.github.io/Logging_1460/tillsyn/A 4427-2024 tillsynsbegäran.docx", "A 4427-2024")</f>
        <v/>
      </c>
      <c r="AD382">
        <f>HYPERLINK("https://klasma.github.io/Logging_1460/tillsynsmail/A 4427-2024 tillsynsbegäran mail.docx", "A 4427-2024")</f>
        <v/>
      </c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46257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46257</v>
      </c>
      <c r="F384" t="inlineStr">
        <is>
          <t>VÄSTRA GÖTALANDS LÄN</t>
        </is>
      </c>
      <c r="G384" t="inlineStr">
        <is>
          <t>BENGTSFORS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44621</v>
      </c>
      <c r="E385" s="1" t="n">
        <v>46257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46257</v>
      </c>
      <c r="F386" t="inlineStr">
        <is>
          <t>VÄSTRA GÖTALANDS LÄN</t>
        </is>
      </c>
      <c r="G386" t="inlineStr">
        <is>
          <t>BENGTSFORS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46257</v>
      </c>
      <c r="F387" t="inlineStr">
        <is>
          <t>VÄSTRA GÖTALANDS LÄN</t>
        </is>
      </c>
      <c r="G387" t="inlineStr">
        <is>
          <t>BENGTSFORS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43336-2021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44432</v>
      </c>
      <c r="E388" s="1" t="n">
        <v>46257</v>
      </c>
      <c r="F388" t="inlineStr">
        <is>
          <t>VÄSTRA GÖTALANDS LÄN</t>
        </is>
      </c>
      <c r="G388" t="inlineStr">
        <is>
          <t>BENGTSFORS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46002</v>
      </c>
      <c r="E389" s="1" t="n">
        <v>46257</v>
      </c>
      <c r="F389" t="inlineStr">
        <is>
          <t>VÄSTRA GÖTALANDS LÄN</t>
        </is>
      </c>
      <c r="G389" t="inlineStr">
        <is>
          <t>BENGTSFORS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46257</v>
      </c>
      <c r="F390" t="inlineStr">
        <is>
          <t>VÄSTRA GÖTALANDS LÄN</t>
        </is>
      </c>
      <c r="G390" t="inlineStr">
        <is>
          <t>BENGTSFORS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56001-2022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44889</v>
      </c>
      <c r="E391" s="1" t="n">
        <v>46257</v>
      </c>
      <c r="F391" t="inlineStr">
        <is>
          <t>VÄSTRA GÖTALANDS LÄN</t>
        </is>
      </c>
      <c r="G391" t="inlineStr">
        <is>
          <t>BENGTSFORS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11265-2022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44629</v>
      </c>
      <c r="E392" s="1" t="n">
        <v>46257</v>
      </c>
      <c r="F392" t="inlineStr">
        <is>
          <t>VÄSTRA GÖTALANDS LÄN</t>
        </is>
      </c>
      <c r="G392" t="inlineStr">
        <is>
          <t>BENGTSFORS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46257</v>
      </c>
      <c r="F393" t="inlineStr">
        <is>
          <t>VÄSTRA GÖTALANDS LÄN</t>
        </is>
      </c>
      <c r="G393" t="inlineStr">
        <is>
          <t>BENGTSFORS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46257</v>
      </c>
      <c r="F394" t="inlineStr">
        <is>
          <t>VÄSTRA GÖTALANDS LÄN</t>
        </is>
      </c>
      <c r="G394" t="inlineStr">
        <is>
          <t>BENGTSFORS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46257</v>
      </c>
      <c r="F395" t="inlineStr">
        <is>
          <t>VÄSTRA GÖTALANDS LÄN</t>
        </is>
      </c>
      <c r="G395" t="inlineStr">
        <is>
          <t>BENGTSFORS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46257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44875</v>
      </c>
      <c r="E397" s="1" t="n">
        <v>46257</v>
      </c>
      <c r="F397" t="inlineStr">
        <is>
          <t>VÄSTRA GÖTALANDS LÄN</t>
        </is>
      </c>
      <c r="G397" t="inlineStr">
        <is>
          <t>BENGTSFORS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44997</v>
      </c>
      <c r="E398" s="1" t="n">
        <v>46257</v>
      </c>
      <c r="F398" t="inlineStr">
        <is>
          <t>VÄSTRA GÖTALANDS LÄN</t>
        </is>
      </c>
      <c r="G398" t="inlineStr">
        <is>
          <t>BENGTSFORS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45772</v>
      </c>
      <c r="E399" s="1" t="n">
        <v>46257</v>
      </c>
      <c r="F399" t="inlineStr">
        <is>
          <t>VÄSTRA GÖTALANDS LÄN</t>
        </is>
      </c>
      <c r="G399" t="inlineStr">
        <is>
          <t>BENGTSFORS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46257</v>
      </c>
      <c r="F400" t="inlineStr">
        <is>
          <t>VÄSTRA GÖTALANDS LÄN</t>
        </is>
      </c>
      <c r="G400" t="inlineStr">
        <is>
          <t>BENGTSFORS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46257</v>
      </c>
      <c r="F401" t="inlineStr">
        <is>
          <t>VÄSTRA GÖTALANDS LÄN</t>
        </is>
      </c>
      <c r="G401" t="inlineStr">
        <is>
          <t>BENGTSFORS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46257</v>
      </c>
      <c r="F402" t="inlineStr">
        <is>
          <t>VÄSTRA GÖTALANDS LÄN</t>
        </is>
      </c>
      <c r="G402" t="inlineStr">
        <is>
          <t>BENGTSFORS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55968-2024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45623</v>
      </c>
      <c r="E403" s="1" t="n">
        <v>46257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46257</v>
      </c>
      <c r="F404" t="inlineStr">
        <is>
          <t>VÄSTRA GÖTALANDS LÄN</t>
        </is>
      </c>
      <c r="G404" t="inlineStr">
        <is>
          <t>BENGTSFORS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46257</v>
      </c>
      <c r="F405" t="inlineStr">
        <is>
          <t>VÄSTRA GÖTALANDS LÄN</t>
        </is>
      </c>
      <c r="G405" t="inlineStr">
        <is>
          <t>BENGTSFORS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41213-2024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45559</v>
      </c>
      <c r="E406" s="1" t="n">
        <v>46257</v>
      </c>
      <c r="F406" t="inlineStr">
        <is>
          <t>VÄSTRA GÖTALANDS LÄN</t>
        </is>
      </c>
      <c r="G406" t="inlineStr">
        <is>
          <t>BENGTSFORS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45604</v>
      </c>
      <c r="E407" s="1" t="n">
        <v>46257</v>
      </c>
      <c r="F407" t="inlineStr">
        <is>
          <t>VÄSTRA GÖTALANDS LÄN</t>
        </is>
      </c>
      <c r="G407" t="inlineStr">
        <is>
          <t>BENGTSFORS</t>
        </is>
      </c>
      <c r="I407" t="n">
        <v>15.7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44827</v>
      </c>
      <c r="E408" s="1" t="n">
        <v>46257</v>
      </c>
      <c r="F408" t="inlineStr">
        <is>
          <t>VÄSTRA GÖTALANDS LÄN</t>
        </is>
      </c>
      <c r="G408" t="inlineStr">
        <is>
          <t>BENGTSFORS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46257</v>
      </c>
      <c r="F409" t="inlineStr">
        <is>
          <t>VÄSTRA GÖTALANDS LÄN</t>
        </is>
      </c>
      <c r="G409" t="inlineStr">
        <is>
          <t>BENGTSFORS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44488</v>
      </c>
      <c r="E410" s="1" t="n">
        <v>46257</v>
      </c>
      <c r="F410" t="inlineStr">
        <is>
          <t>VÄSTRA GÖTALANDS LÄN</t>
        </is>
      </c>
      <c r="G410" t="inlineStr">
        <is>
          <t>BENGTSFORS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46257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46257</v>
      </c>
      <c r="F412" t="inlineStr">
        <is>
          <t>VÄSTRA GÖTALANDS LÄN</t>
        </is>
      </c>
      <c r="G412" t="inlineStr">
        <is>
          <t>BENGTSFORS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44578</v>
      </c>
      <c r="E413" s="1" t="n">
        <v>46257</v>
      </c>
      <c r="F413" t="inlineStr">
        <is>
          <t>VÄSTRA GÖTALANDS LÄN</t>
        </is>
      </c>
      <c r="G413" t="inlineStr">
        <is>
          <t>BENGTSFORS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44971</v>
      </c>
      <c r="E414" s="1" t="n">
        <v>46257</v>
      </c>
      <c r="F414" t="inlineStr">
        <is>
          <t>VÄSTRA GÖTALANDS LÄN</t>
        </is>
      </c>
      <c r="G414" t="inlineStr">
        <is>
          <t>BENGTSFORS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45638</v>
      </c>
      <c r="E415" s="1" t="n">
        <v>46257</v>
      </c>
      <c r="F415" t="inlineStr">
        <is>
          <t>VÄSTRA GÖTALANDS LÄN</t>
        </is>
      </c>
      <c r="G415" t="inlineStr">
        <is>
          <t>BENGTSFORS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44440</v>
      </c>
      <c r="E416" s="1" t="n">
        <v>46257</v>
      </c>
      <c r="F416" t="inlineStr">
        <is>
          <t>VÄSTRA GÖTALANDS LÄN</t>
        </is>
      </c>
      <c r="G416" t="inlineStr">
        <is>
          <t>BENGTSFORS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46257</v>
      </c>
      <c r="F417" t="inlineStr">
        <is>
          <t>VÄSTRA GÖTALANDS LÄN</t>
        </is>
      </c>
      <c r="G417" t="inlineStr">
        <is>
          <t>BENGTSFORS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45309</v>
      </c>
      <c r="E418" s="1" t="n">
        <v>46257</v>
      </c>
      <c r="F418" t="inlineStr">
        <is>
          <t>VÄSTRA GÖTALANDS LÄN</t>
        </is>
      </c>
      <c r="G418" t="inlineStr">
        <is>
          <t>BENGTSFORS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44453</v>
      </c>
      <c r="E419" s="1" t="n">
        <v>46257</v>
      </c>
      <c r="F419" t="inlineStr">
        <is>
          <t>VÄSTRA GÖTALANDS LÄN</t>
        </is>
      </c>
      <c r="G419" t="inlineStr">
        <is>
          <t>BENGTSFORS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46257</v>
      </c>
      <c r="F420" t="inlineStr">
        <is>
          <t>VÄSTRA GÖTALANDS LÄN</t>
        </is>
      </c>
      <c r="G420" t="inlineStr">
        <is>
          <t>BENGTSFORS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46257</v>
      </c>
      <c r="F421" t="inlineStr">
        <is>
          <t>VÄSTRA GÖTALANDS LÄN</t>
        </is>
      </c>
      <c r="G421" t="inlineStr">
        <is>
          <t>BENGTSFORS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44648</v>
      </c>
      <c r="E422" s="1" t="n">
        <v>46257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46257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44755</v>
      </c>
      <c r="E424" s="1" t="n">
        <v>46257</v>
      </c>
      <c r="F424" t="inlineStr">
        <is>
          <t>VÄSTRA GÖTALANDS LÄN</t>
        </is>
      </c>
      <c r="G424" t="inlineStr">
        <is>
          <t>BENGTSFORS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46257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46257</v>
      </c>
      <c r="F426" t="inlineStr">
        <is>
          <t>VÄSTRA GÖTALANDS LÄN</t>
        </is>
      </c>
      <c r="G426" t="inlineStr">
        <is>
          <t>BENGTSFORS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46257</v>
      </c>
      <c r="F427" t="inlineStr">
        <is>
          <t>VÄSTRA GÖTALANDS LÄN</t>
        </is>
      </c>
      <c r="G427" t="inlineStr">
        <is>
          <t>BENGTSFORS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45060</v>
      </c>
      <c r="E428" s="1" t="n">
        <v>46257</v>
      </c>
      <c r="F428" t="inlineStr">
        <is>
          <t>VÄSTRA GÖTALANDS LÄN</t>
        </is>
      </c>
      <c r="G428" t="inlineStr">
        <is>
          <t>BENGTSFORS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46257</v>
      </c>
      <c r="F429" t="inlineStr">
        <is>
          <t>VÄSTRA GÖTALANDS LÄN</t>
        </is>
      </c>
      <c r="G429" t="inlineStr">
        <is>
          <t>BENGTSFORS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55882-2021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44476</v>
      </c>
      <c r="E430" s="1" t="n">
        <v>46257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46257</v>
      </c>
      <c r="F431" t="inlineStr">
        <is>
          <t>VÄSTRA GÖTALANDS LÄN</t>
        </is>
      </c>
      <c r="G431" t="inlineStr">
        <is>
          <t>BENGTSFORS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46257</v>
      </c>
      <c r="F432" t="inlineStr">
        <is>
          <t>VÄSTRA GÖTALANDS LÄN</t>
        </is>
      </c>
      <c r="G432" t="inlineStr">
        <is>
          <t>BENGTSFORS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46723-2022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44851</v>
      </c>
      <c r="E433" s="1" t="n">
        <v>46257</v>
      </c>
      <c r="F433" t="inlineStr">
        <is>
          <t>VÄSTRA GÖTALANDS LÄN</t>
        </is>
      </c>
      <c r="G433" t="inlineStr">
        <is>
          <t>BENGTSFORS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67916-2021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46257</v>
      </c>
      <c r="F434" t="inlineStr">
        <is>
          <t>VÄSTRA GÖTALANDS LÄN</t>
        </is>
      </c>
      <c r="G434" t="inlineStr">
        <is>
          <t>BENGTSFORS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45376</v>
      </c>
      <c r="E435" s="1" t="n">
        <v>46257</v>
      </c>
      <c r="F435" t="inlineStr">
        <is>
          <t>VÄSTRA GÖTALANDS LÄN</t>
        </is>
      </c>
      <c r="G435" t="inlineStr">
        <is>
          <t>BENGTSFORS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65763-2021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44516</v>
      </c>
      <c r="E436" s="1" t="n">
        <v>46257</v>
      </c>
      <c r="F436" t="inlineStr">
        <is>
          <t>VÄSTRA GÖTALANDS LÄN</t>
        </is>
      </c>
      <c r="G436" t="inlineStr">
        <is>
          <t>BENGTSFORS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46257</v>
      </c>
      <c r="F437" t="inlineStr">
        <is>
          <t>VÄSTRA GÖTALANDS LÄN</t>
        </is>
      </c>
      <c r="G437" t="inlineStr">
        <is>
          <t>BENGTSFORS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46257</v>
      </c>
      <c r="F438" t="inlineStr">
        <is>
          <t>VÄSTRA GÖTALANDS LÄN</t>
        </is>
      </c>
      <c r="G438" t="inlineStr">
        <is>
          <t>BENGTSFORS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46257</v>
      </c>
      <c r="F439" t="inlineStr">
        <is>
          <t>VÄSTRA GÖTALANDS LÄN</t>
        </is>
      </c>
      <c r="G439" t="inlineStr">
        <is>
          <t>BENGTSFORS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46257</v>
      </c>
      <c r="F440" t="inlineStr">
        <is>
          <t>VÄSTRA GÖTALANDS LÄN</t>
        </is>
      </c>
      <c r="G440" t="inlineStr">
        <is>
          <t>BENGTSFORS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46257</v>
      </c>
      <c r="F441" t="inlineStr">
        <is>
          <t>VÄSTRA GÖTALANDS LÄN</t>
        </is>
      </c>
      <c r="G441" t="inlineStr">
        <is>
          <t>BENGTSFORS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45623</v>
      </c>
      <c r="E442" s="1" t="n">
        <v>46257</v>
      </c>
      <c r="F442" t="inlineStr">
        <is>
          <t>VÄSTRA GÖTALANDS LÄN</t>
        </is>
      </c>
      <c r="G442" t="inlineStr">
        <is>
          <t>BENGTSFORS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46257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44826</v>
      </c>
      <c r="E444" s="1" t="n">
        <v>46257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46257</v>
      </c>
      <c r="F445" t="inlineStr">
        <is>
          <t>VÄSTRA GÖTALANDS LÄN</t>
        </is>
      </c>
      <c r="G445" t="inlineStr">
        <is>
          <t>BENGTSFORS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46257</v>
      </c>
      <c r="F446" t="inlineStr">
        <is>
          <t>VÄSTRA GÖTALANDS LÄN</t>
        </is>
      </c>
      <c r="G446" t="inlineStr">
        <is>
          <t>BENGTSFORS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59615-2022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44907</v>
      </c>
      <c r="E447" s="1" t="n">
        <v>46257</v>
      </c>
      <c r="F447" t="inlineStr">
        <is>
          <t>VÄSTRA GÖTALANDS LÄN</t>
        </is>
      </c>
      <c r="G447" t="inlineStr">
        <is>
          <t>BENGTSFORS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46257</v>
      </c>
      <c r="F448" t="inlineStr">
        <is>
          <t>VÄSTRA GÖTALANDS LÄN</t>
        </is>
      </c>
      <c r="G448" t="inlineStr">
        <is>
          <t>BENGTSFORS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46257</v>
      </c>
      <c r="F449" t="inlineStr">
        <is>
          <t>VÄSTRA GÖTALANDS LÄN</t>
        </is>
      </c>
      <c r="G449" t="inlineStr">
        <is>
          <t>BENGTSFORS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46257</v>
      </c>
      <c r="F450" t="inlineStr">
        <is>
          <t>VÄSTRA GÖTALANDS LÄN</t>
        </is>
      </c>
      <c r="G450" t="inlineStr">
        <is>
          <t>BENGTSFORS</t>
        </is>
      </c>
      <c r="H450" t="inlineStr">
        <is>
          <t>Övriga Aktiebolag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46257</v>
      </c>
      <c r="F451" t="inlineStr">
        <is>
          <t>VÄSTRA GÖTALANDS LÄN</t>
        </is>
      </c>
      <c r="G451" t="inlineStr">
        <is>
          <t>BENGTSFORS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46257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46257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46257</v>
      </c>
      <c r="F454" t="inlineStr">
        <is>
          <t>VÄSTRA GÖTALANDS LÄN</t>
        </is>
      </c>
      <c r="G454" t="inlineStr">
        <is>
          <t>BENGTSFORS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46257</v>
      </c>
      <c r="F455" t="inlineStr">
        <is>
          <t>VÄSTRA GÖTALANDS LÄN</t>
        </is>
      </c>
      <c r="G455" t="inlineStr">
        <is>
          <t>BENGTSFORS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46257</v>
      </c>
      <c r="F456" t="inlineStr">
        <is>
          <t>VÄSTRA GÖTALANDS LÄN</t>
        </is>
      </c>
      <c r="G456" t="inlineStr">
        <is>
          <t>BENGTSFORS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46257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37889-2025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45881</v>
      </c>
      <c r="E458" s="1" t="n">
        <v>46257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46257</v>
      </c>
      <c r="F459" t="inlineStr">
        <is>
          <t>VÄSTRA GÖTALANDS LÄN</t>
        </is>
      </c>
      <c r="G459" t="inlineStr">
        <is>
          <t>BENGTSFORS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46257</v>
      </c>
      <c r="F460" t="inlineStr">
        <is>
          <t>VÄSTRA GÖTALANDS LÄN</t>
        </is>
      </c>
      <c r="G460" t="inlineStr">
        <is>
          <t>BENGTSFORS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46257</v>
      </c>
      <c r="F461" t="inlineStr">
        <is>
          <t>VÄSTRA GÖTALANDS LÄN</t>
        </is>
      </c>
      <c r="G461" t="inlineStr">
        <is>
          <t>BENGTSFORS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46257</v>
      </c>
      <c r="F462" t="inlineStr">
        <is>
          <t>VÄSTRA GÖTALANDS LÄN</t>
        </is>
      </c>
      <c r="G462" t="inlineStr">
        <is>
          <t>BENGTSFORS</t>
        </is>
      </c>
      <c r="I462" t="n">
        <v>12.4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45715</v>
      </c>
      <c r="E463" s="1" t="n">
        <v>46257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46257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46169</v>
      </c>
      <c r="E465" s="1" t="n">
        <v>46257</v>
      </c>
      <c r="F465" t="inlineStr">
        <is>
          <t>VÄSTRA GÖTALANDS LÄN</t>
        </is>
      </c>
      <c r="G465" t="inlineStr">
        <is>
          <t>BENGTSFORS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46257</v>
      </c>
      <c r="F466" t="inlineStr">
        <is>
          <t>VÄSTRA GÖTALANDS LÄN</t>
        </is>
      </c>
      <c r="G466" t="inlineStr">
        <is>
          <t>BENGTSFORS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44997</v>
      </c>
      <c r="E467" s="1" t="n">
        <v>46257</v>
      </c>
      <c r="F467" t="inlineStr">
        <is>
          <t>VÄSTRA GÖTALANDS LÄN</t>
        </is>
      </c>
      <c r="G467" t="inlineStr">
        <is>
          <t>BENGTSFORS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46257</v>
      </c>
      <c r="F468" t="inlineStr">
        <is>
          <t>VÄSTRA GÖTALANDS LÄN</t>
        </is>
      </c>
      <c r="G468" t="inlineStr">
        <is>
          <t>BENGTSFORS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46257</v>
      </c>
      <c r="F469" t="inlineStr">
        <is>
          <t>VÄSTRA GÖTALANDS LÄN</t>
        </is>
      </c>
      <c r="G469" t="inlineStr">
        <is>
          <t>BENGTSFORS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46257</v>
      </c>
      <c r="F470" t="inlineStr">
        <is>
          <t>VÄSTRA GÖTALANDS LÄN</t>
        </is>
      </c>
      <c r="G470" t="inlineStr">
        <is>
          <t>BENGTSFORS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46257</v>
      </c>
      <c r="F471" t="inlineStr">
        <is>
          <t>VÄSTRA GÖTALANDS LÄN</t>
        </is>
      </c>
      <c r="G471" t="inlineStr">
        <is>
          <t>BENGTSFORS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46257</v>
      </c>
      <c r="F472" t="inlineStr">
        <is>
          <t>VÄSTRA GÖTALANDS LÄN</t>
        </is>
      </c>
      <c r="G472" t="inlineStr">
        <is>
          <t>BENGTSFORS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46257</v>
      </c>
      <c r="F473" t="inlineStr">
        <is>
          <t>VÄSTRA GÖTALANDS LÄN</t>
        </is>
      </c>
      <c r="G473" t="inlineStr">
        <is>
          <t>BENGTSFORS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46257</v>
      </c>
      <c r="F474" t="inlineStr">
        <is>
          <t>VÄSTRA GÖTALANDS LÄN</t>
        </is>
      </c>
      <c r="G474" t="inlineStr">
        <is>
          <t>BENGTSFORS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37549-2025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45879</v>
      </c>
      <c r="E475" s="1" t="n">
        <v>46257</v>
      </c>
      <c r="F475" t="inlineStr">
        <is>
          <t>VÄSTRA GÖTALANDS LÄN</t>
        </is>
      </c>
      <c r="G475" t="inlineStr">
        <is>
          <t>BENGTSFORS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46257</v>
      </c>
      <c r="F476" t="inlineStr">
        <is>
          <t>VÄSTRA GÖTALANDS LÄN</t>
        </is>
      </c>
      <c r="G476" t="inlineStr">
        <is>
          <t>BENGTSFORS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46257</v>
      </c>
      <c r="F477" t="inlineStr">
        <is>
          <t>VÄSTRA GÖTALANDS LÄN</t>
        </is>
      </c>
      <c r="G477" t="inlineStr">
        <is>
          <t>BENGTSFORS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44572</v>
      </c>
      <c r="E478" s="1" t="n">
        <v>46257</v>
      </c>
      <c r="F478" t="inlineStr">
        <is>
          <t>VÄSTRA GÖTALANDS LÄN</t>
        </is>
      </c>
      <c r="G478" t="inlineStr">
        <is>
          <t>BENGTSFORS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46257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46257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46257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46257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46257</v>
      </c>
      <c r="F483" t="inlineStr">
        <is>
          <t>VÄSTRA GÖTALANDS LÄN</t>
        </is>
      </c>
      <c r="G483" t="inlineStr">
        <is>
          <t>BENGTSFORS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46257</v>
      </c>
      <c r="F484" t="inlineStr">
        <is>
          <t>VÄSTRA GÖTALANDS LÄN</t>
        </is>
      </c>
      <c r="G484" t="inlineStr">
        <is>
          <t>BENGTSFORS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46257</v>
      </c>
      <c r="F485" t="inlineStr">
        <is>
          <t>VÄSTRA GÖTALANDS LÄN</t>
        </is>
      </c>
      <c r="G485" t="inlineStr">
        <is>
          <t>BENGTSFORS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46257</v>
      </c>
      <c r="F486" t="inlineStr">
        <is>
          <t>VÄSTRA GÖTALANDS LÄN</t>
        </is>
      </c>
      <c r="G486" t="inlineStr">
        <is>
          <t>BENGTSFORS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46257</v>
      </c>
      <c r="F487" t="inlineStr">
        <is>
          <t>VÄSTRA GÖTALANDS LÄN</t>
        </is>
      </c>
      <c r="G487" t="inlineStr">
        <is>
          <t>BENGTSFORS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45886</v>
      </c>
      <c r="E488" s="1" t="n">
        <v>46257</v>
      </c>
      <c r="F488" t="inlineStr">
        <is>
          <t>VÄSTRA GÖTALANDS LÄN</t>
        </is>
      </c>
      <c r="G488" t="inlineStr">
        <is>
          <t>BENGTSFORS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46257</v>
      </c>
      <c r="F489" t="inlineStr">
        <is>
          <t>VÄSTRA GÖTALANDS LÄN</t>
        </is>
      </c>
      <c r="G489" t="inlineStr">
        <is>
          <t>BENGTSFORS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45394</v>
      </c>
      <c r="E490" s="1" t="n">
        <v>46257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46257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45233</v>
      </c>
      <c r="E492" s="1" t="n">
        <v>46257</v>
      </c>
      <c r="F492" t="inlineStr">
        <is>
          <t>VÄSTRA GÖTALANDS LÄN</t>
        </is>
      </c>
      <c r="G492" t="inlineStr">
        <is>
          <t>BENGTSFORS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45415</v>
      </c>
      <c r="E493" s="1" t="n">
        <v>46257</v>
      </c>
      <c r="F493" t="inlineStr">
        <is>
          <t>VÄSTRA GÖTALANDS LÄN</t>
        </is>
      </c>
      <c r="G493" t="inlineStr">
        <is>
          <t>BENGTSFORS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46257</v>
      </c>
      <c r="F494" t="inlineStr">
        <is>
          <t>VÄSTRA GÖTALANDS LÄN</t>
        </is>
      </c>
      <c r="G494" t="inlineStr">
        <is>
          <t>BENGTSFORS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56090-2022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44887</v>
      </c>
      <c r="E495" s="1" t="n">
        <v>46257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46257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46257</v>
      </c>
      <c r="F497" t="inlineStr">
        <is>
          <t>VÄSTRA GÖTALANDS LÄN</t>
        </is>
      </c>
      <c r="G497" t="inlineStr">
        <is>
          <t>BENGTSFORS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46257</v>
      </c>
      <c r="F498" t="inlineStr">
        <is>
          <t>VÄSTRA GÖTALANDS LÄN</t>
        </is>
      </c>
      <c r="G498" t="inlineStr">
        <is>
          <t>BENGTSFORS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46257</v>
      </c>
      <c r="F499" t="inlineStr">
        <is>
          <t>VÄSTRA GÖTALANDS LÄN</t>
        </is>
      </c>
      <c r="G499" t="inlineStr">
        <is>
          <t>BENGTSFORS</t>
        </is>
      </c>
      <c r="H499" t="inlineStr">
        <is>
          <t>Kyrkan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46257</v>
      </c>
      <c r="F500" t="inlineStr">
        <is>
          <t>VÄSTRA GÖTALANDS LÄN</t>
        </is>
      </c>
      <c r="G500" t="inlineStr">
        <is>
          <t>BENGTSFORS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44876</v>
      </c>
      <c r="E501" s="1" t="n">
        <v>46257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45151</v>
      </c>
      <c r="E502" s="1" t="n">
        <v>46257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46257</v>
      </c>
      <c r="F503" t="inlineStr">
        <is>
          <t>VÄSTRA GÖTALANDS LÄN</t>
        </is>
      </c>
      <c r="G503" t="inlineStr">
        <is>
          <t>BENGTSFORS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46257</v>
      </c>
      <c r="F504" t="inlineStr">
        <is>
          <t>VÄSTRA GÖTALANDS LÄN</t>
        </is>
      </c>
      <c r="G504" t="inlineStr">
        <is>
          <t>BENGTSFORS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46257</v>
      </c>
      <c r="F505" t="inlineStr">
        <is>
          <t>VÄSTRA GÖTALANDS LÄN</t>
        </is>
      </c>
      <c r="G505" t="inlineStr">
        <is>
          <t>BENGTSFORS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46257</v>
      </c>
      <c r="F506" t="inlineStr">
        <is>
          <t>VÄSTRA GÖTALANDS LÄN</t>
        </is>
      </c>
      <c r="G506" t="inlineStr">
        <is>
          <t>BENGTSFORS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50610-2022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44866</v>
      </c>
      <c r="E507" s="1" t="n">
        <v>46257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46257</v>
      </c>
      <c r="F508" t="inlineStr">
        <is>
          <t>VÄSTRA GÖTALANDS LÄN</t>
        </is>
      </c>
      <c r="G508" t="inlineStr">
        <is>
          <t>BENGTSFORS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44943</v>
      </c>
      <c r="E509" s="1" t="n">
        <v>46257</v>
      </c>
      <c r="F509" t="inlineStr">
        <is>
          <t>VÄSTRA GÖTALANDS LÄN</t>
        </is>
      </c>
      <c r="G509" t="inlineStr">
        <is>
          <t>BENGTSFORS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46257</v>
      </c>
      <c r="F510" t="inlineStr">
        <is>
          <t>VÄSTRA GÖTALANDS LÄN</t>
        </is>
      </c>
      <c r="G510" t="inlineStr">
        <is>
          <t>BENGTSFORS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46257</v>
      </c>
      <c r="F511" t="inlineStr">
        <is>
          <t>VÄSTRA GÖTALANDS LÄN</t>
        </is>
      </c>
      <c r="G511" t="inlineStr">
        <is>
          <t>BENGTSFORS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12105-2026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46257</v>
      </c>
      <c r="F512" t="inlineStr">
        <is>
          <t>VÄSTRA GÖTALANDS LÄN</t>
        </is>
      </c>
      <c r="G512" t="inlineStr">
        <is>
          <t>BENGTSFORS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45264</v>
      </c>
      <c r="E513" s="1" t="n">
        <v>46257</v>
      </c>
      <c r="F513" t="inlineStr">
        <is>
          <t>VÄSTRA GÖTALANDS LÄN</t>
        </is>
      </c>
      <c r="G513" t="inlineStr">
        <is>
          <t>BENGTSFORS</t>
        </is>
      </c>
      <c r="I513" t="n">
        <v>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46257</v>
      </c>
      <c r="F514" t="inlineStr">
        <is>
          <t>VÄSTRA GÖTALANDS LÄN</t>
        </is>
      </c>
      <c r="G514" t="inlineStr">
        <is>
          <t>BENGTSFORS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46257</v>
      </c>
      <c r="F515" t="inlineStr">
        <is>
          <t>VÄSTRA GÖTALANDS LÄN</t>
        </is>
      </c>
      <c r="G515" t="inlineStr">
        <is>
          <t>BENGTSFORS</t>
        </is>
      </c>
      <c r="I515" t="n">
        <v>14.5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45699</v>
      </c>
      <c r="E516" s="1" t="n">
        <v>46257</v>
      </c>
      <c r="F516" t="inlineStr">
        <is>
          <t>VÄSTRA GÖTALANDS LÄN</t>
        </is>
      </c>
      <c r="G516" t="inlineStr">
        <is>
          <t>BENGTSFORS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46257</v>
      </c>
      <c r="F517" t="inlineStr">
        <is>
          <t>VÄSTRA GÖTALANDS LÄN</t>
        </is>
      </c>
      <c r="G517" t="inlineStr">
        <is>
          <t>BENGTSFORS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46257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46257</v>
      </c>
      <c r="F519" t="inlineStr">
        <is>
          <t>VÄSTRA GÖTALANDS LÄN</t>
        </is>
      </c>
      <c r="G519" t="inlineStr">
        <is>
          <t>BENGTSFORS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46257</v>
      </c>
      <c r="F520" t="inlineStr">
        <is>
          <t>VÄSTRA GÖTALANDS LÄN</t>
        </is>
      </c>
      <c r="G520" t="inlineStr">
        <is>
          <t>BENGTSFORS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45173</v>
      </c>
      <c r="E521" s="1" t="n">
        <v>46257</v>
      </c>
      <c r="F521" t="inlineStr">
        <is>
          <t>VÄSTRA GÖTALANDS LÄN</t>
        </is>
      </c>
      <c r="G521" t="inlineStr">
        <is>
          <t>BENGTSFORS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14167-2026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46257</v>
      </c>
      <c r="F522" t="inlineStr">
        <is>
          <t>VÄSTRA GÖTALANDS LÄN</t>
        </is>
      </c>
      <c r="G522" t="inlineStr">
        <is>
          <t>BENGTSFORS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44935</v>
      </c>
      <c r="E523" s="1" t="n">
        <v>46257</v>
      </c>
      <c r="F523" t="inlineStr">
        <is>
          <t>VÄSTRA GÖTALANDS LÄN</t>
        </is>
      </c>
      <c r="G523" t="inlineStr">
        <is>
          <t>BENGTSFORS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46257</v>
      </c>
      <c r="F524" t="inlineStr">
        <is>
          <t>VÄSTRA GÖTALANDS LÄN</t>
        </is>
      </c>
      <c r="G524" t="inlineStr">
        <is>
          <t>BENGTSFORS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46257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46257</v>
      </c>
      <c r="F526" t="inlineStr">
        <is>
          <t>VÄSTRA GÖTALANDS LÄN</t>
        </is>
      </c>
      <c r="G526" t="inlineStr">
        <is>
          <t>BENGTSFORS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46257</v>
      </c>
      <c r="F527" t="inlineStr">
        <is>
          <t>VÄSTRA GÖTALANDS LÄN</t>
        </is>
      </c>
      <c r="G527" t="inlineStr">
        <is>
          <t>BENGTSFORS</t>
        </is>
      </c>
      <c r="H527" t="inlineStr">
        <is>
          <t>Övriga Aktiebolag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44621</v>
      </c>
      <c r="E528" s="1" t="n">
        <v>46257</v>
      </c>
      <c r="F528" t="inlineStr">
        <is>
          <t>VÄSTRA GÖTALANDS LÄN</t>
        </is>
      </c>
      <c r="G528" t="inlineStr">
        <is>
          <t>BENGTSFORS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46257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46257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46257</v>
      </c>
      <c r="F531" t="inlineStr">
        <is>
          <t>VÄSTRA GÖTALANDS LÄN</t>
        </is>
      </c>
      <c r="G531" t="inlineStr">
        <is>
          <t>BENGTSFORS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60491-2021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44496</v>
      </c>
      <c r="E532" s="1" t="n">
        <v>46257</v>
      </c>
      <c r="F532" t="inlineStr">
        <is>
          <t>VÄSTRA GÖTALANDS LÄN</t>
        </is>
      </c>
      <c r="G532" t="inlineStr">
        <is>
          <t>BENGTSFORS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46257</v>
      </c>
      <c r="F533" t="inlineStr">
        <is>
          <t>VÄSTRA GÖTALANDS LÄN</t>
        </is>
      </c>
      <c r="G533" t="inlineStr">
        <is>
          <t>BENGTSFORS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46257</v>
      </c>
      <c r="F534" t="inlineStr">
        <is>
          <t>VÄSTRA GÖTALANDS LÄN</t>
        </is>
      </c>
      <c r="G534" t="inlineStr">
        <is>
          <t>BENGTSFORS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46257</v>
      </c>
      <c r="F535" t="inlineStr">
        <is>
          <t>VÄSTRA GÖTALANDS LÄN</t>
        </is>
      </c>
      <c r="G535" t="inlineStr">
        <is>
          <t>BENGTSFORS</t>
        </is>
      </c>
      <c r="H535" t="inlineStr">
        <is>
          <t>Kyrkan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46257</v>
      </c>
      <c r="F536" t="inlineStr">
        <is>
          <t>VÄSTRA GÖTALANDS LÄN</t>
        </is>
      </c>
      <c r="G536" t="inlineStr">
        <is>
          <t>BENGTSFORS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46257</v>
      </c>
      <c r="F537" t="inlineStr">
        <is>
          <t>VÄSTRA GÖTALANDS LÄN</t>
        </is>
      </c>
      <c r="G537" t="inlineStr">
        <is>
          <t>BENGTSFORS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46257</v>
      </c>
      <c r="F538" t="inlineStr">
        <is>
          <t>VÄSTRA GÖTALANDS LÄN</t>
        </is>
      </c>
      <c r="G538" t="inlineStr">
        <is>
          <t>BENGTSFORS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46257</v>
      </c>
      <c r="F539" t="inlineStr">
        <is>
          <t>VÄSTRA GÖTALANDS LÄN</t>
        </is>
      </c>
      <c r="G539" t="inlineStr">
        <is>
          <t>BENGTSFORS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46257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46257</v>
      </c>
      <c r="F541" t="inlineStr">
        <is>
          <t>VÄSTRA GÖTALANDS LÄN</t>
        </is>
      </c>
      <c r="G541" t="inlineStr">
        <is>
          <t>BENGTSFORS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46198</v>
      </c>
      <c r="E542" s="1" t="n">
        <v>46257</v>
      </c>
      <c r="F542" t="inlineStr">
        <is>
          <t>VÄSTRA GÖTALANDS LÄN</t>
        </is>
      </c>
      <c r="G542" t="inlineStr">
        <is>
          <t>BENGTSFORS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46240</v>
      </c>
      <c r="E543" s="1" t="n">
        <v>46257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46257</v>
      </c>
      <c r="F544" t="inlineStr">
        <is>
          <t>VÄSTRA GÖTALANDS LÄN</t>
        </is>
      </c>
      <c r="G544" t="inlineStr">
        <is>
          <t>BENGTSFORS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44742</v>
      </c>
      <c r="E545" s="1" t="n">
        <v>46257</v>
      </c>
      <c r="F545" t="inlineStr">
        <is>
          <t>VÄSTRA GÖTALANDS LÄN</t>
        </is>
      </c>
      <c r="G545" t="inlineStr">
        <is>
          <t>BENGTSFORS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46257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46257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46257</v>
      </c>
      <c r="F548" t="inlineStr">
        <is>
          <t>VÄSTRA GÖTALANDS LÄN</t>
        </is>
      </c>
      <c r="G548" t="inlineStr">
        <is>
          <t>BENGTSFORS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46257</v>
      </c>
      <c r="F549" t="inlineStr">
        <is>
          <t>VÄSTRA GÖTALANDS LÄN</t>
        </is>
      </c>
      <c r="G549" t="inlineStr">
        <is>
          <t>BENGTSFORS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45440</v>
      </c>
      <c r="E550" s="1" t="n">
        <v>46257</v>
      </c>
      <c r="F550" t="inlineStr">
        <is>
          <t>VÄSTRA GÖTALANDS LÄN</t>
        </is>
      </c>
      <c r="G550" t="inlineStr">
        <is>
          <t>BENGTSFORS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45476</v>
      </c>
      <c r="E551" s="1" t="n">
        <v>46257</v>
      </c>
      <c r="F551" t="inlineStr">
        <is>
          <t>VÄSTRA GÖTALANDS LÄN</t>
        </is>
      </c>
      <c r="G551" t="inlineStr">
        <is>
          <t>BENGTSFORS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44845</v>
      </c>
      <c r="E552" s="1" t="n">
        <v>46257</v>
      </c>
      <c r="F552" t="inlineStr">
        <is>
          <t>VÄSTRA GÖTALANDS LÄN</t>
        </is>
      </c>
      <c r="G552" t="inlineStr">
        <is>
          <t>BENGTSFORS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46257</v>
      </c>
      <c r="F553" t="inlineStr">
        <is>
          <t>VÄSTRA GÖTALANDS LÄN</t>
        </is>
      </c>
      <c r="G553" t="inlineStr">
        <is>
          <t>BENGTSFORS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13074-2024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46257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45772</v>
      </c>
      <c r="E555" s="1" t="n">
        <v>46257</v>
      </c>
      <c r="F555" t="inlineStr">
        <is>
          <t>VÄSTRA GÖTALANDS LÄN</t>
        </is>
      </c>
      <c r="G555" t="inlineStr">
        <is>
          <t>BENGTSFORS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29309-2026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46197</v>
      </c>
      <c r="E556" s="1" t="n">
        <v>46257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46257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46257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45688</v>
      </c>
      <c r="E559" s="1" t="n">
        <v>46257</v>
      </c>
      <c r="F559" t="inlineStr">
        <is>
          <t>VÄSTRA GÖTALANDS LÄN</t>
        </is>
      </c>
      <c r="G559" t="inlineStr">
        <is>
          <t>BENGTSFORS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46257</v>
      </c>
      <c r="F560" t="inlineStr">
        <is>
          <t>VÄSTRA GÖTALANDS LÄN</t>
        </is>
      </c>
      <c r="G560" t="inlineStr">
        <is>
          <t>BENGTSFORS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63724-2025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46010</v>
      </c>
      <c r="E561" s="1" t="n">
        <v>46257</v>
      </c>
      <c r="F561" t="inlineStr">
        <is>
          <t>VÄSTRA GÖTALANDS LÄN</t>
        </is>
      </c>
      <c r="G561" t="inlineStr">
        <is>
          <t>BENGTSFORS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42471-2022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46257</v>
      </c>
      <c r="F562" t="inlineStr">
        <is>
          <t>VÄSTRA GÖTALANDS LÄN</t>
        </is>
      </c>
      <c r="G562" t="inlineStr">
        <is>
          <t>BENGTSFORS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45734</v>
      </c>
      <c r="E563" s="1" t="n">
        <v>46257</v>
      </c>
      <c r="F563" t="inlineStr">
        <is>
          <t>VÄSTRA GÖTALANDS LÄN</t>
        </is>
      </c>
      <c r="G563" t="inlineStr">
        <is>
          <t>BENGTSFORS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46257</v>
      </c>
      <c r="F564" t="inlineStr">
        <is>
          <t>VÄSTRA GÖTALANDS LÄN</t>
        </is>
      </c>
      <c r="G564" t="inlineStr">
        <is>
          <t>BENGTSFORS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55880-2021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44476</v>
      </c>
      <c r="E565" s="1" t="n">
        <v>46257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64837-2021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44512</v>
      </c>
      <c r="E566" s="1" t="n">
        <v>46257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45176</v>
      </c>
      <c r="E567" s="1" t="n">
        <v>46257</v>
      </c>
      <c r="F567" t="inlineStr">
        <is>
          <t>VÄSTRA GÖTALANDS LÄN</t>
        </is>
      </c>
      <c r="G567" t="inlineStr">
        <is>
          <t>BENGTSFORS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46257</v>
      </c>
      <c r="F568" t="inlineStr">
        <is>
          <t>VÄSTRA GÖTALANDS LÄN</t>
        </is>
      </c>
      <c r="G568" t="inlineStr">
        <is>
          <t>BENGTSFORS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46257</v>
      </c>
      <c r="F569" t="inlineStr">
        <is>
          <t>VÄSTRA GÖTALANDS LÄN</t>
        </is>
      </c>
      <c r="G569" t="inlineStr">
        <is>
          <t>BENGTSFORS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11885-2024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45376</v>
      </c>
      <c r="E570" s="1" t="n">
        <v>46257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46257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44264-2023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46257</v>
      </c>
      <c r="F572" t="inlineStr">
        <is>
          <t>VÄSTRA GÖTALANDS LÄN</t>
        </is>
      </c>
      <c r="G572" t="inlineStr">
        <is>
          <t>BENGTSFORS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46257</v>
      </c>
      <c r="F573" t="inlineStr">
        <is>
          <t>VÄSTRA GÖTALANDS LÄN</t>
        </is>
      </c>
      <c r="G573" t="inlineStr">
        <is>
          <t>BENGTSFORS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44812-2024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46257</v>
      </c>
      <c r="F574" t="inlineStr">
        <is>
          <t>VÄSTRA GÖTALANDS LÄN</t>
        </is>
      </c>
      <c r="G574" t="inlineStr">
        <is>
          <t>BENGTSFORS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45889</v>
      </c>
      <c r="E575" s="1" t="n">
        <v>46257</v>
      </c>
      <c r="F575" t="inlineStr">
        <is>
          <t>VÄSTRA GÖTALANDS LÄN</t>
        </is>
      </c>
      <c r="G575" t="inlineStr">
        <is>
          <t>BENGTSFORS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46257</v>
      </c>
      <c r="F576" t="inlineStr">
        <is>
          <t>VÄSTRA GÖTALANDS LÄN</t>
        </is>
      </c>
      <c r="G576" t="inlineStr">
        <is>
          <t>BENGTSFORS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45547</v>
      </c>
      <c r="E577" s="1" t="n">
        <v>46257</v>
      </c>
      <c r="F577" t="inlineStr">
        <is>
          <t>VÄSTRA GÖTALANDS LÄN</t>
        </is>
      </c>
      <c r="G577" t="inlineStr">
        <is>
          <t>BENGTSFORS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37341-2024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46257</v>
      </c>
      <c r="F578" t="inlineStr">
        <is>
          <t>VÄSTRA GÖTALANDS LÄN</t>
        </is>
      </c>
      <c r="G578" t="inlineStr">
        <is>
          <t>BENGTSFORS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46257</v>
      </c>
      <c r="F579" t="inlineStr">
        <is>
          <t>VÄSTRA GÖTALANDS LÄN</t>
        </is>
      </c>
      <c r="G579" t="inlineStr">
        <is>
          <t>BENGTSFORS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56544-2025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46257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46257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46257</v>
      </c>
      <c r="F582" t="inlineStr">
        <is>
          <t>VÄSTRA GÖTALANDS LÄN</t>
        </is>
      </c>
      <c r="G582" t="inlineStr">
        <is>
          <t>BENGTSFORS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46257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45793</v>
      </c>
      <c r="E584" s="1" t="n">
        <v>46257</v>
      </c>
      <c r="F584" t="inlineStr">
        <is>
          <t>VÄSTRA GÖTALANDS LÄN</t>
        </is>
      </c>
      <c r="G584" t="inlineStr">
        <is>
          <t>BENGTSFORS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45937</v>
      </c>
      <c r="E585" s="1" t="n">
        <v>46257</v>
      </c>
      <c r="F585" t="inlineStr">
        <is>
          <t>VÄSTRA GÖTALANDS LÄN</t>
        </is>
      </c>
      <c r="G585" t="inlineStr">
        <is>
          <t>BENGTSFORS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46257</v>
      </c>
      <c r="F586" t="inlineStr">
        <is>
          <t>VÄSTRA GÖTALANDS LÄN</t>
        </is>
      </c>
      <c r="G586" t="inlineStr">
        <is>
          <t>BENGTSFORS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44967</v>
      </c>
      <c r="E587" s="1" t="n">
        <v>46257</v>
      </c>
      <c r="F587" t="inlineStr">
        <is>
          <t>VÄSTRA GÖTALANDS LÄN</t>
        </is>
      </c>
      <c r="G587" t="inlineStr">
        <is>
          <t>BENGTSFORS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45376</v>
      </c>
      <c r="E588" s="1" t="n">
        <v>46257</v>
      </c>
      <c r="F588" t="inlineStr">
        <is>
          <t>VÄSTRA GÖTALANDS LÄN</t>
        </is>
      </c>
      <c r="G588" t="inlineStr">
        <is>
          <t>BENGTSFORS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44903</v>
      </c>
      <c r="E589" s="1" t="n">
        <v>46257</v>
      </c>
      <c r="F589" t="inlineStr">
        <is>
          <t>VÄSTRA GÖTALANDS LÄN</t>
        </is>
      </c>
      <c r="G589" t="inlineStr">
        <is>
          <t>BENGTSFORS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46257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Övriga Aktiebolag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46257</v>
      </c>
      <c r="F591" t="inlineStr">
        <is>
          <t>VÄSTRA GÖTALANDS LÄN</t>
        </is>
      </c>
      <c r="G591" t="inlineStr">
        <is>
          <t>BENGTSFORS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46257</v>
      </c>
      <c r="F592" t="inlineStr">
        <is>
          <t>VÄSTRA GÖTALANDS LÄN</t>
        </is>
      </c>
      <c r="G592" t="inlineStr">
        <is>
          <t>BENGTSFORS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46257</v>
      </c>
      <c r="F593" t="inlineStr">
        <is>
          <t>VÄSTRA GÖTALANDS LÄN</t>
        </is>
      </c>
      <c r="G593" t="inlineStr">
        <is>
          <t>BENGTSFORS</t>
        </is>
      </c>
      <c r="I593" t="n">
        <v>9.199999999999999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45874</v>
      </c>
      <c r="E594" s="1" t="n">
        <v>46257</v>
      </c>
      <c r="F594" t="inlineStr">
        <is>
          <t>VÄSTRA GÖTALANDS LÄN</t>
        </is>
      </c>
      <c r="G594" t="inlineStr">
        <is>
          <t>BENGTSFORS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46257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45917</v>
      </c>
      <c r="E596" s="1" t="n">
        <v>46257</v>
      </c>
      <c r="F596" t="inlineStr">
        <is>
          <t>VÄSTRA GÖTALANDS LÄN</t>
        </is>
      </c>
      <c r="G596" t="inlineStr">
        <is>
          <t>BENGTSFORS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25937-2025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45804</v>
      </c>
      <c r="E597" s="1" t="n">
        <v>46257</v>
      </c>
      <c r="F597" t="inlineStr">
        <is>
          <t>VÄSTRA GÖTALANDS LÄN</t>
        </is>
      </c>
      <c r="G597" t="inlineStr">
        <is>
          <t>BENGTSFORS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46257</v>
      </c>
      <c r="F598" t="inlineStr">
        <is>
          <t>VÄSTRA GÖTALANDS LÄN</t>
        </is>
      </c>
      <c r="G598" t="inlineStr">
        <is>
          <t>BENGTSFORS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45712</v>
      </c>
      <c r="E599" s="1" t="n">
        <v>46257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46257</v>
      </c>
      <c r="F600" t="inlineStr">
        <is>
          <t>VÄSTRA GÖTALANDS LÄN</t>
        </is>
      </c>
      <c r="G600" t="inlineStr">
        <is>
          <t>BENGTSFORS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46257</v>
      </c>
      <c r="F601" t="inlineStr">
        <is>
          <t>VÄSTRA GÖTALANDS LÄN</t>
        </is>
      </c>
      <c r="G601" t="inlineStr">
        <is>
          <t>BENGTSFORS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45917</v>
      </c>
      <c r="E602" s="1" t="n">
        <v>46257</v>
      </c>
      <c r="F602" t="inlineStr">
        <is>
          <t>VÄSTRA GÖTALANDS LÄN</t>
        </is>
      </c>
      <c r="G602" t="inlineStr">
        <is>
          <t>BENGTSFORS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60177-2023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46257</v>
      </c>
      <c r="F603" t="inlineStr">
        <is>
          <t>VÄSTRA GÖTALANDS LÄN</t>
        </is>
      </c>
      <c r="G603" t="inlineStr">
        <is>
          <t>BENGTSFORS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46257</v>
      </c>
      <c r="F604" t="inlineStr">
        <is>
          <t>VÄSTRA GÖTALANDS LÄN</t>
        </is>
      </c>
      <c r="G604" t="inlineStr">
        <is>
          <t>BENGTSFORS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46257</v>
      </c>
      <c r="F605" t="inlineStr">
        <is>
          <t>VÄSTRA GÖTALANDS LÄN</t>
        </is>
      </c>
      <c r="G605" t="inlineStr">
        <is>
          <t>BENGTSFORS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60522-2024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45643</v>
      </c>
      <c r="E606" s="1" t="n">
        <v>46257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60525-2024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45643</v>
      </c>
      <c r="E607" s="1" t="n">
        <v>46257</v>
      </c>
      <c r="F607" t="inlineStr">
        <is>
          <t>VÄSTRA GÖTALANDS LÄN</t>
        </is>
      </c>
      <c r="G607" t="inlineStr">
        <is>
          <t>BENGTSFORS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46257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46257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45960</v>
      </c>
      <c r="E610" s="1" t="n">
        <v>46257</v>
      </c>
      <c r="F610" t="inlineStr">
        <is>
          <t>VÄSTRA GÖTALANDS LÄN</t>
        </is>
      </c>
      <c r="G610" t="inlineStr">
        <is>
          <t>BENGTSFORS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46257</v>
      </c>
      <c r="F611" t="inlineStr">
        <is>
          <t>VÄSTRA GÖTALANDS LÄN</t>
        </is>
      </c>
      <c r="G611" t="inlineStr">
        <is>
          <t>BENGTSFORS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60105-2021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44495</v>
      </c>
      <c r="E612" s="1" t="n">
        <v>46257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46257</v>
      </c>
      <c r="F613" t="inlineStr">
        <is>
          <t>VÄSTRA GÖTALANDS LÄN</t>
        </is>
      </c>
      <c r="G613" t="inlineStr">
        <is>
          <t>BENGTSFORS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45386</v>
      </c>
      <c r="E614" s="1" t="n">
        <v>46257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61242-2024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46257</v>
      </c>
      <c r="F615" t="inlineStr">
        <is>
          <t>VÄSTRA GÖTALANDS LÄN</t>
        </is>
      </c>
      <c r="G615" t="inlineStr">
        <is>
          <t>BENGTSFORS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73594-2021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44552</v>
      </c>
      <c r="E616" s="1" t="n">
        <v>46257</v>
      </c>
      <c r="F616" t="inlineStr">
        <is>
          <t>VÄSTRA GÖTALANDS LÄN</t>
        </is>
      </c>
      <c r="G616" t="inlineStr">
        <is>
          <t>BENGTSFORS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46257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45063</v>
      </c>
      <c r="E618" s="1" t="n">
        <v>46257</v>
      </c>
      <c r="F618" t="inlineStr">
        <is>
          <t>VÄSTRA GÖTALANDS LÄN</t>
        </is>
      </c>
      <c r="G618" t="inlineStr">
        <is>
          <t>BENGTSFORS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45810</v>
      </c>
      <c r="E619" s="1" t="n">
        <v>46257</v>
      </c>
      <c r="F619" t="inlineStr">
        <is>
          <t>VÄSTRA GÖTALANDS LÄN</t>
        </is>
      </c>
      <c r="G619" t="inlineStr">
        <is>
          <t>BENGTSFORS</t>
        </is>
      </c>
      <c r="I619" t="n">
        <v>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45422</v>
      </c>
      <c r="E620" s="1" t="n">
        <v>46257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44592</v>
      </c>
      <c r="E621" s="1" t="n">
        <v>46257</v>
      </c>
      <c r="F621" t="inlineStr">
        <is>
          <t>VÄSTRA GÖTALANDS LÄN</t>
        </is>
      </c>
      <c r="G621" t="inlineStr">
        <is>
          <t>BENGTSFORS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45583</v>
      </c>
      <c r="E622" s="1" t="n">
        <v>46257</v>
      </c>
      <c r="F622" t="inlineStr">
        <is>
          <t>VÄSTRA GÖTALANDS LÄN</t>
        </is>
      </c>
      <c r="G622" t="inlineStr">
        <is>
          <t>BENGTSFORS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45310</v>
      </c>
      <c r="E623" s="1" t="n">
        <v>46257</v>
      </c>
      <c r="F623" t="inlineStr">
        <is>
          <t>VÄSTRA GÖTALANDS LÄN</t>
        </is>
      </c>
      <c r="G623" t="inlineStr">
        <is>
          <t>BENGTSFORS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46257</v>
      </c>
      <c r="F624" t="inlineStr">
        <is>
          <t>VÄSTRA GÖTALANDS LÄN</t>
        </is>
      </c>
      <c r="G624" t="inlineStr">
        <is>
          <t>BENGTSFORS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46257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73585-2021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44552</v>
      </c>
      <c r="E626" s="1" t="n">
        <v>46257</v>
      </c>
      <c r="F626" t="inlineStr">
        <is>
          <t>VÄSTRA GÖTALANDS LÄN</t>
        </is>
      </c>
      <c r="G626" t="inlineStr">
        <is>
          <t>BENGTSFORS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42409-2022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46257</v>
      </c>
      <c r="F627" t="inlineStr">
        <is>
          <t>VÄSTRA GÖTALANDS LÄN</t>
        </is>
      </c>
      <c r="G627" t="inlineStr">
        <is>
          <t>BENGTSFORS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44984</v>
      </c>
      <c r="E628" s="1" t="n">
        <v>46257</v>
      </c>
      <c r="F628" t="inlineStr">
        <is>
          <t>VÄSTRA GÖTALANDS LÄN</t>
        </is>
      </c>
      <c r="G628" t="inlineStr">
        <is>
          <t>BENGTSFORS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44914</v>
      </c>
      <c r="E629" s="1" t="n">
        <v>46257</v>
      </c>
      <c r="F629" t="inlineStr">
        <is>
          <t>VÄSTRA GÖTALANDS LÄN</t>
        </is>
      </c>
      <c r="G629" t="inlineStr">
        <is>
          <t>BENGTSFORS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46257</v>
      </c>
      <c r="F630" t="inlineStr">
        <is>
          <t>VÄSTRA GÖTALANDS LÄN</t>
        </is>
      </c>
      <c r="G630" t="inlineStr">
        <is>
          <t>BENGTSFORS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46257</v>
      </c>
      <c r="F631" t="inlineStr">
        <is>
          <t>VÄSTRA GÖTALANDS LÄN</t>
        </is>
      </c>
      <c r="G631" t="inlineStr">
        <is>
          <t>BENGTSFORS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46257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46257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46257</v>
      </c>
      <c r="F634" t="inlineStr">
        <is>
          <t>VÄSTRA GÖTALANDS LÄN</t>
        </is>
      </c>
      <c r="G634" t="inlineStr">
        <is>
          <t>BENGTSFORS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46257</v>
      </c>
      <c r="F635" t="inlineStr">
        <is>
          <t>VÄSTRA GÖTALANDS LÄN</t>
        </is>
      </c>
      <c r="G635" t="inlineStr">
        <is>
          <t>BENGTSFORS</t>
        </is>
      </c>
      <c r="I635" t="n">
        <v>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44943</v>
      </c>
      <c r="E636" s="1" t="n">
        <v>46257</v>
      </c>
      <c r="F636" t="inlineStr">
        <is>
          <t>VÄSTRA GÖTALANDS LÄN</t>
        </is>
      </c>
      <c r="G636" t="inlineStr">
        <is>
          <t>BENGTSFORS</t>
        </is>
      </c>
      <c r="I636" t="n">
        <v>15.6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46257</v>
      </c>
      <c r="F637" t="inlineStr">
        <is>
          <t>VÄSTRA GÖTALANDS LÄN</t>
        </is>
      </c>
      <c r="G637" t="inlineStr">
        <is>
          <t>BENGTSFORS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45575</v>
      </c>
      <c r="E638" s="1" t="n">
        <v>46257</v>
      </c>
      <c r="F638" t="inlineStr">
        <is>
          <t>VÄSTRA GÖTALANDS LÄN</t>
        </is>
      </c>
      <c r="G638" t="inlineStr">
        <is>
          <t>BENGTSFORS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46257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46257</v>
      </c>
      <c r="F640" t="inlineStr">
        <is>
          <t>VÄSTRA GÖTALANDS LÄN</t>
        </is>
      </c>
      <c r="G640" t="inlineStr">
        <is>
          <t>BENGTSFORS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44929</v>
      </c>
      <c r="E641" s="1" t="n">
        <v>46257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16936-2022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44676</v>
      </c>
      <c r="E642" s="1" t="n">
        <v>46257</v>
      </c>
      <c r="F642" t="inlineStr">
        <is>
          <t>VÄSTRA GÖTALANDS LÄN</t>
        </is>
      </c>
      <c r="G642" t="inlineStr">
        <is>
          <t>BENGTSFORS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46767-2023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45195</v>
      </c>
      <c r="E643" s="1" t="n">
        <v>46257</v>
      </c>
      <c r="F643" t="inlineStr">
        <is>
          <t>VÄSTRA GÖTALANDS LÄN</t>
        </is>
      </c>
      <c r="G643" t="inlineStr">
        <is>
          <t>BENGTSFORS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45198</v>
      </c>
      <c r="E644" s="1" t="n">
        <v>46257</v>
      </c>
      <c r="F644" t="inlineStr">
        <is>
          <t>VÄSTRA GÖTALANDS LÄN</t>
        </is>
      </c>
      <c r="G644" t="inlineStr">
        <is>
          <t>BENGTSFORS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46257</v>
      </c>
      <c r="F645" t="inlineStr">
        <is>
          <t>VÄSTRA GÖTALANDS LÄN</t>
        </is>
      </c>
      <c r="G645" t="inlineStr">
        <is>
          <t>BENGTSFORS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45511</v>
      </c>
      <c r="E646" s="1" t="n">
        <v>46257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46257</v>
      </c>
      <c r="F647" t="inlineStr">
        <is>
          <t>VÄSTRA GÖTALANDS LÄN</t>
        </is>
      </c>
      <c r="G647" t="inlineStr">
        <is>
          <t>BENGTSFORS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45553</v>
      </c>
      <c r="E648" s="1" t="n">
        <v>46257</v>
      </c>
      <c r="F648" t="inlineStr">
        <is>
          <t>VÄSTRA GÖTALANDS LÄN</t>
        </is>
      </c>
      <c r="G648" t="inlineStr">
        <is>
          <t>BENGTSFORS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46257</v>
      </c>
      <c r="F649" t="inlineStr">
        <is>
          <t>VÄSTRA GÖTALANDS LÄN</t>
        </is>
      </c>
      <c r="G649" t="inlineStr">
        <is>
          <t>BENGTSFORS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46257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46257</v>
      </c>
      <c r="F651" t="inlineStr">
        <is>
          <t>VÄSTRA GÖTALANDS LÄN</t>
        </is>
      </c>
      <c r="G651" t="inlineStr">
        <is>
          <t>BENGTSFORS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45771</v>
      </c>
      <c r="E652" s="1" t="n">
        <v>46257</v>
      </c>
      <c r="F652" t="inlineStr">
        <is>
          <t>VÄSTRA GÖTALANDS LÄN</t>
        </is>
      </c>
      <c r="G652" t="inlineStr">
        <is>
          <t>BENGTSFORS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46257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20428-2025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46257</v>
      </c>
      <c r="F654" t="inlineStr">
        <is>
          <t>VÄSTRA GÖTALANDS LÄN</t>
        </is>
      </c>
      <c r="G654" t="inlineStr">
        <is>
          <t>BENGTSFORS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46257</v>
      </c>
      <c r="F655" t="inlineStr">
        <is>
          <t>VÄSTRA GÖTALANDS LÄN</t>
        </is>
      </c>
      <c r="G655" t="inlineStr">
        <is>
          <t>BENGTSFORS</t>
        </is>
      </c>
      <c r="I655" t="n">
        <v>21.7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46257</v>
      </c>
      <c r="F656" t="inlineStr">
        <is>
          <t>VÄSTRA GÖTALANDS LÄN</t>
        </is>
      </c>
      <c r="G656" t="inlineStr">
        <is>
          <t>BENGTSFORS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46257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22548-2025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45788</v>
      </c>
      <c r="E658" s="1" t="n">
        <v>46257</v>
      </c>
      <c r="F658" t="inlineStr">
        <is>
          <t>VÄSTRA GÖTALANDS LÄN</t>
        </is>
      </c>
      <c r="G658" t="inlineStr">
        <is>
          <t>BENGTSFORS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46257</v>
      </c>
      <c r="F659" t="inlineStr">
        <is>
          <t>VÄSTRA GÖTALANDS LÄN</t>
        </is>
      </c>
      <c r="G659" t="inlineStr">
        <is>
          <t>BENGTSFORS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46257</v>
      </c>
      <c r="F660" t="inlineStr">
        <is>
          <t>VÄSTRA GÖTALANDS LÄN</t>
        </is>
      </c>
      <c r="G660" t="inlineStr">
        <is>
          <t>BENGTSFORS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45737</v>
      </c>
      <c r="E661" s="1" t="n">
        <v>46257</v>
      </c>
      <c r="F661" t="inlineStr">
        <is>
          <t>VÄSTRA GÖTALANDS LÄN</t>
        </is>
      </c>
      <c r="G661" t="inlineStr">
        <is>
          <t>BENGTSFORS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45309</v>
      </c>
      <c r="E662" s="1" t="n">
        <v>46257</v>
      </c>
      <c r="F662" t="inlineStr">
        <is>
          <t>VÄSTRA GÖTALANDS LÄN</t>
        </is>
      </c>
      <c r="G662" t="inlineStr">
        <is>
          <t>BENGTSFORS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28460-2024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45477</v>
      </c>
      <c r="E663" s="1" t="n">
        <v>46257</v>
      </c>
      <c r="F663" t="inlineStr">
        <is>
          <t>VÄSTRA GÖTALANDS LÄN</t>
        </is>
      </c>
      <c r="G663" t="inlineStr">
        <is>
          <t>BENGTSFORS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45575</v>
      </c>
      <c r="E664" s="1" t="n">
        <v>46257</v>
      </c>
      <c r="F664" t="inlineStr">
        <is>
          <t>VÄSTRA GÖTALANDS LÄN</t>
        </is>
      </c>
      <c r="G664" t="inlineStr">
        <is>
          <t>BENGTSFORS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3957-2025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46257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45363</v>
      </c>
      <c r="E666" s="1" t="n">
        <v>46257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45798</v>
      </c>
      <c r="E667" s="1" t="n">
        <v>46257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46257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46929-2023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45201</v>
      </c>
      <c r="E669" s="1" t="n">
        <v>46257</v>
      </c>
      <c r="F669" t="inlineStr">
        <is>
          <t>VÄSTRA GÖTALANDS LÄN</t>
        </is>
      </c>
      <c r="G669" t="inlineStr">
        <is>
          <t>BENGTSFORS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45530</v>
      </c>
      <c r="E670" s="1" t="n">
        <v>46257</v>
      </c>
      <c r="F670" t="inlineStr">
        <is>
          <t>VÄSTRA GÖTALANDS LÄN</t>
        </is>
      </c>
      <c r="G670" t="inlineStr">
        <is>
          <t>BENGTSFORS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46257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46257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46257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46257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46257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46257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46257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46257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46257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46257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46257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46257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46257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46257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2026-08-23T01:52:31Z</dcterms:created>
  <dcterms:modified xmlns:dcterms="http://purl.org/dc/terms/" xmlns:xsi="http://www.w3.org/2001/XMLSchema-instance" xsi:type="dcterms:W3CDTF">2026-08-23T01:52:32Z</dcterms:modified>
</cp:coreProperties>
</file>