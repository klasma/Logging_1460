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45565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45565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45565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45565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45565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45565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45565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45565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45565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45565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45565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45565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45565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45565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45565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25728-2024</t>
        </is>
      </c>
      <c r="B17" s="1" t="n">
        <v>45464</v>
      </c>
      <c r="C17" s="1" t="n">
        <v>45565</v>
      </c>
      <c r="D17" t="inlineStr">
        <is>
          <t>VÄSTRA GÖTALANDS LÄN</t>
        </is>
      </c>
      <c r="E17" t="inlineStr">
        <is>
          <t>BENGTSFORS</t>
        </is>
      </c>
      <c r="G17" t="n">
        <v>1.9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Blomkålssvamp
Mindre märgborre
Vågbandad barkbock</t>
        </is>
      </c>
      <c r="S17">
        <f>HYPERLINK("https://klasma.github.io/Logging_1460/artfynd/A 25728-2024 artfynd.xlsx", "A 25728-2024")</f>
        <v/>
      </c>
      <c r="T17">
        <f>HYPERLINK("https://klasma.github.io/Logging_1460/kartor/A 25728-2024 karta.png", "A 25728-2024")</f>
        <v/>
      </c>
      <c r="V17">
        <f>HYPERLINK("https://klasma.github.io/Logging_1460/klagomål/A 25728-2024 FSC-klagomål.docx", "A 25728-2024")</f>
        <v/>
      </c>
      <c r="W17">
        <f>HYPERLINK("https://klasma.github.io/Logging_1460/klagomålsmail/A 25728-2024 FSC-klagomål mail.docx", "A 25728-2024")</f>
        <v/>
      </c>
      <c r="X17">
        <f>HYPERLINK("https://klasma.github.io/Logging_1460/tillsyn/A 25728-2024 tillsynsbegäran.docx", "A 25728-2024")</f>
        <v/>
      </c>
      <c r="Y17">
        <f>HYPERLINK("https://klasma.github.io/Logging_1460/tillsynsmail/A 25728-2024 tillsynsbegäran mail.docx", "A 25728-2024")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45565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45565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45565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45565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45565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45565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45565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45565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45565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45565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45565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45565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45565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45565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45565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45565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45565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45565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45565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45565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45565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45565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45565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45565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45565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45565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45565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45565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45565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45565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45565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45565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45565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45565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45565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45565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45565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45565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45565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45565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45565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45565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45565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45565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45565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45565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45565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45565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45565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45565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45565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45565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45565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45565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45565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45565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45565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45565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45565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45565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45565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45565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45565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45565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45565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45565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45565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45565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45565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45565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45565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45565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45565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45565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45565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45565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45565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45565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45565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45565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45565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45565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45565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45565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45565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45565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45565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45565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45565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45565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45565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45565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45565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45565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45565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45565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45565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45565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45565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45565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45565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45565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45565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45565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45565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45565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45565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45565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45565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45565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45565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45565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45565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45565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45565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45565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45565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45565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45565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45565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45565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45565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45565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45565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45565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45565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45565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45565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45565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45565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45565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45565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45565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45565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45565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45565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45565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45565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45565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45565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45565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45565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45565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45565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45565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45565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45565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45565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45565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45565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45565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45565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45565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45565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45565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45565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45565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45565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45565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45565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45565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45565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45565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45565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45565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45565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45565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45565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45565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45565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45565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45565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45565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45565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45565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45565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45565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45565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45565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45565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45565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45565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45565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45565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45565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45565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45565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45565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45565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45565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45565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45565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45565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45565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45565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45565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45565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45565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45565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45565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45565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45565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45565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45565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45565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45565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45565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45565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45565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45565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45565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45565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45565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45565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45565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45565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45565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45565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45565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45565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45565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45565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45565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45565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45565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45565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45565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45565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45565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45565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45565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45565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45565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45565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45565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45565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45565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45565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45565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45565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45565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45565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45565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45565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45565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45565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45565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45565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45565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45565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45565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45565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45565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45565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45565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45565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45565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45565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45565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45565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45565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45565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45565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45565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45565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45565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45565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45565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45565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45565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45565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45565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45565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45565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45565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45565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45565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45565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45565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45565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45565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45565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45565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45565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45565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45565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45565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45565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45565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45565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45565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45565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45565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45565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45565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45565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45565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45565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45565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45565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45565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45565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45565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45565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45565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45565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45565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45565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45565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45565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45565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45565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45565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45565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45565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45565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45565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45565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45565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45565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45565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45565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45565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45565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45565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45565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45565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45565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45565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45565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45565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45565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45565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45565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45565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45565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45565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45565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45565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45565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45565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45565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45565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45565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45565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45565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45565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45565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45565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45565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45565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45565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45565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45565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45565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45565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45565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45565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45565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45565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45565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45565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45565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45565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45565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45565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45565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45565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45565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45565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45565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45565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45565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45565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45565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45565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45565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45565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45565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45565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45565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45565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45565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45565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45565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45565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45565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45565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45565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45565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45565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45565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45565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45565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45565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45565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45565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45565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45565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45565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45565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45565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45565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45565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45565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45565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45565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45565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45565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45565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45565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45565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45565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45565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45565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45565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45565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45565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45565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45565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45565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45565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45565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45565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45565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45565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45565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45565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45565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45565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45565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45565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45565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45565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45565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45565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45565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45565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45565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45565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45565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45565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45565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45565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45565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45565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45565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45565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45565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45565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45565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45565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45565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45565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45565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45565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45565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45565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45565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45565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45565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45565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45565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45565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45565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45565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45565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45565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45565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45565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45565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45565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45565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45565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45565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45565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45565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45565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45565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45565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45565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45565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45565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45565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45565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45565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45565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45565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45565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45565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45565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45565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45565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45565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45565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45565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45565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45565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45565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45565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45565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45565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45565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45565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45565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45565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45565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45565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45565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45565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45565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45565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45565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45565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45565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45565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45565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45565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45565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45565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45565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45565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45565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45565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45565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45565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45565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45565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45565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45565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45565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45565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45565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45565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45565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45565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45565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45565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45565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45565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45565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45565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45565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45565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45565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45565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45565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45565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45565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45565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45565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45565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45565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45565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45565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45565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45565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45565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45565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45565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45565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45565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45565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45565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45565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45565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45565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45565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45565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45565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45565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45565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45565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45565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45565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45565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45565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45565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45565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45565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45565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45565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45565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45565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45565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45565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45565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45565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45565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45565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45565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45565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45565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45565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45565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45565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45565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45565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45565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45565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45565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45565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45565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45565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45565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45565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45565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45565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45565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45565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45565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45565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45565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45565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45565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45565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45565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45565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45565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45565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45565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45565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45565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45565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45565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45565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45565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45565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45565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45565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45565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45565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45565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45565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45565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45565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45565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45565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45565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45565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45565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45565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45565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45565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45565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45565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45565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45565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45565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45565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45565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45565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45565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45565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45565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45565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45565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45565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45565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45565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45565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45565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45565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45565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45565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45565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45565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45565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45565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45565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45565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45565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45565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45565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45565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45565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45565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45565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45565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45565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45565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45565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45565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45565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45565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45565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45565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45565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45565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45565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45565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45565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45565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45565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45565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45565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45565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45565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45565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45565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45565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45565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45565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45565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45565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45565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45565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45565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45565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45565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45565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45565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45565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45565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45565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45565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45565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45565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45565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45565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45565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45565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45565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45565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45565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45565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45565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45565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45565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45565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45565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45565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45565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45565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45565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45565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45565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45565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45565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45565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45565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45565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45565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45565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45565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45565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45565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45565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45565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45565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45565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45565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45565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45565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45565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45565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45565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45565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45565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45565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45565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45565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45565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45565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45565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45565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45565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45565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45565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45565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45565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45565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45565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45565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45565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45565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45565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45565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45565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45565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45565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45565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45565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45565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45565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45565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45565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45565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45565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45565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45565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45565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45565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45565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45565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45565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45565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45565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45565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45565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45565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45565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45565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45565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45565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45565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45565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45565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45565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45565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45565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45565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45565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45565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45565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45565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45565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45565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45565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45565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45565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45565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45565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45565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45565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45565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45565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45565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45565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45565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45565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45565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45565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45565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45565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45565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45565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45565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45565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45565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45565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45565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45565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45565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45565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45565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45565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45565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45565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45565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45565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45565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45565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45565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45565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45565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45565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45565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45565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45565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45565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45565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45565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45565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45565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45565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45565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45565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45565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45565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45565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45565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45565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45565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45565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45565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45565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45565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45565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45565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45565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45565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45565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45565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45565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45565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45565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45565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45565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45565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45565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45565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45565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45565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45565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45565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45565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45565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45565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45565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45565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45565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45565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45565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45565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45565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45565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45565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45565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45565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45565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45565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45565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45565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45565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45565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45565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45565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45565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45565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45565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45565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45565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45565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45565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45565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45565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45565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45565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45565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45565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45565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45565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45565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45565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45565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45565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45565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45565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45565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45565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45565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45565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45565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45565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45565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45565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45565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45565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45565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45565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45565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45565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45565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45565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45565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45565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45565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45565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45565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45565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45565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45565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45565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45565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45565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45565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45565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45565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45565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45565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45565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45565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45565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45565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45565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45565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45565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45565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45565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45565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45565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37729-2024</t>
        </is>
      </c>
      <c r="B1000" s="1" t="n">
        <v>45541</v>
      </c>
      <c r="C1000" s="1" t="n">
        <v>45565</v>
      </c>
      <c r="D1000" t="inlineStr">
        <is>
          <t>VÄSTRA GÖTALANDS LÄN</t>
        </is>
      </c>
      <c r="E1000" t="inlineStr">
        <is>
          <t>BENGTSFORS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37736-2024</t>
        </is>
      </c>
      <c r="B1001" s="1" t="n">
        <v>45541</v>
      </c>
      <c r="C1001" s="1" t="n">
        <v>45565</v>
      </c>
      <c r="D1001" t="inlineStr">
        <is>
          <t>VÄSTRA GÖTALANDS LÄN</t>
        </is>
      </c>
      <c r="E1001" t="inlineStr">
        <is>
          <t>BENGTSFORS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45565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45565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45565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45565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45565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45565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45565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40799-2024</t>
        </is>
      </c>
      <c r="B1009" s="1" t="n">
        <v>45558</v>
      </c>
      <c r="C1009" s="1" t="n">
        <v>45565</v>
      </c>
      <c r="D1009" t="inlineStr">
        <is>
          <t>VÄSTRA GÖTALANDS LÄN</t>
        </is>
      </c>
      <c r="E1009" t="inlineStr">
        <is>
          <t>BENGTSFORS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41024-2024</t>
        </is>
      </c>
      <c r="B1010" s="1" t="n">
        <v>45558</v>
      </c>
      <c r="C1010" s="1" t="n">
        <v>45565</v>
      </c>
      <c r="D1010" t="inlineStr">
        <is>
          <t>VÄSTRA GÖTALANDS LÄN</t>
        </is>
      </c>
      <c r="E1010" t="inlineStr">
        <is>
          <t>BENGTSFORS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40844-2024</t>
        </is>
      </c>
      <c r="B1011" s="1" t="n">
        <v>45558</v>
      </c>
      <c r="C1011" s="1" t="n">
        <v>45565</v>
      </c>
      <c r="D1011" t="inlineStr">
        <is>
          <t>VÄSTRA GÖTALANDS LÄN</t>
        </is>
      </c>
      <c r="E1011" t="inlineStr">
        <is>
          <t>BENGTSFORS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40856-2024</t>
        </is>
      </c>
      <c r="B1012" s="1" t="n">
        <v>45558</v>
      </c>
      <c r="C1012" s="1" t="n">
        <v>45565</v>
      </c>
      <c r="D1012" t="inlineStr">
        <is>
          <t>VÄSTRA GÖTALANDS LÄN</t>
        </is>
      </c>
      <c r="E1012" t="inlineStr">
        <is>
          <t>BENGTSFORS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40838-2024</t>
        </is>
      </c>
      <c r="B1013" s="1" t="n">
        <v>45558</v>
      </c>
      <c r="C1013" s="1" t="n">
        <v>45565</v>
      </c>
      <c r="D1013" t="inlineStr">
        <is>
          <t>VÄSTRA GÖTALANDS LÄN</t>
        </is>
      </c>
      <c r="E1013" t="inlineStr">
        <is>
          <t>BENGTSFORS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40915-2024</t>
        </is>
      </c>
      <c r="B1014" s="1" t="n">
        <v>45558</v>
      </c>
      <c r="C1014" s="1" t="n">
        <v>45565</v>
      </c>
      <c r="D1014" t="inlineStr">
        <is>
          <t>VÄSTRA GÖTALANDS LÄN</t>
        </is>
      </c>
      <c r="E1014" t="inlineStr">
        <is>
          <t>BENGTSFORS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41022-2024</t>
        </is>
      </c>
      <c r="B1015" s="1" t="n">
        <v>45558</v>
      </c>
      <c r="C1015" s="1" t="n">
        <v>45565</v>
      </c>
      <c r="D1015" t="inlineStr">
        <is>
          <t>VÄSTRA GÖTALANDS LÄN</t>
        </is>
      </c>
      <c r="E1015" t="inlineStr">
        <is>
          <t>BENGTSFORS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41166-2024</t>
        </is>
      </c>
      <c r="B1016" s="1" t="n">
        <v>45559</v>
      </c>
      <c r="C1016" s="1" t="n">
        <v>45565</v>
      </c>
      <c r="D1016" t="inlineStr">
        <is>
          <t>VÄSTRA GÖTALANDS LÄN</t>
        </is>
      </c>
      <c r="E1016" t="inlineStr">
        <is>
          <t>BENGTSFORS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41210-2024</t>
        </is>
      </c>
      <c r="B1017" s="1" t="n">
        <v>45559</v>
      </c>
      <c r="C1017" s="1" t="n">
        <v>45565</v>
      </c>
      <c r="D1017" t="inlineStr">
        <is>
          <t>VÄSTRA GÖTALANDS LÄN</t>
        </is>
      </c>
      <c r="E1017" t="inlineStr">
        <is>
          <t>BENGTSFORS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41228-2024</t>
        </is>
      </c>
      <c r="B1018" s="1" t="n">
        <v>45559</v>
      </c>
      <c r="C1018" s="1" t="n">
        <v>45565</v>
      </c>
      <c r="D1018" t="inlineStr">
        <is>
          <t>VÄSTRA GÖTALANDS LÄN</t>
        </is>
      </c>
      <c r="E1018" t="inlineStr">
        <is>
          <t>BENGTSFORS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41110-2024</t>
        </is>
      </c>
      <c r="B1019" s="1" t="n">
        <v>45559</v>
      </c>
      <c r="C1019" s="1" t="n">
        <v>45565</v>
      </c>
      <c r="D1019" t="inlineStr">
        <is>
          <t>VÄSTRA GÖTALANDS LÄN</t>
        </is>
      </c>
      <c r="E1019" t="inlineStr">
        <is>
          <t>BENGTSFORS</t>
        </is>
      </c>
      <c r="G1019" t="n">
        <v>8.6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41138-2024</t>
        </is>
      </c>
      <c r="B1020" s="1" t="n">
        <v>45559</v>
      </c>
      <c r="C1020" s="1" t="n">
        <v>45565</v>
      </c>
      <c r="D1020" t="inlineStr">
        <is>
          <t>VÄSTRA GÖTALANDS LÄN</t>
        </is>
      </c>
      <c r="E1020" t="inlineStr">
        <is>
          <t>BENGTSFORS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41213-2024</t>
        </is>
      </c>
      <c r="B1021" s="1" t="n">
        <v>45559</v>
      </c>
      <c r="C1021" s="1" t="n">
        <v>45565</v>
      </c>
      <c r="D1021" t="inlineStr">
        <is>
          <t>VÄSTRA GÖTALANDS LÄN</t>
        </is>
      </c>
      <c r="E1021" t="inlineStr">
        <is>
          <t>BENGTSFORS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41229-2024</t>
        </is>
      </c>
      <c r="B1022" s="1" t="n">
        <v>45559</v>
      </c>
      <c r="C1022" s="1" t="n">
        <v>45565</v>
      </c>
      <c r="D1022" t="inlineStr">
        <is>
          <t>VÄSTRA GÖTALANDS LÄN</t>
        </is>
      </c>
      <c r="E1022" t="inlineStr">
        <is>
          <t>BENGTSFORS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41123-2024</t>
        </is>
      </c>
      <c r="B1023" s="1" t="n">
        <v>45559</v>
      </c>
      <c r="C1023" s="1" t="n">
        <v>45565</v>
      </c>
      <c r="D1023" t="inlineStr">
        <is>
          <t>VÄSTRA GÖTALANDS LÄN</t>
        </is>
      </c>
      <c r="E1023" t="inlineStr">
        <is>
          <t>BENGTSFORS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45565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41363-2024</t>
        </is>
      </c>
      <c r="B1025" s="1" t="n">
        <v>45559</v>
      </c>
      <c r="C1025" s="1" t="n">
        <v>45565</v>
      </c>
      <c r="D1025" t="inlineStr">
        <is>
          <t>VÄSTRA GÖTALANDS LÄN</t>
        </is>
      </c>
      <c r="E1025" t="inlineStr">
        <is>
          <t>BENGTSFORS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45565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42362-2024</t>
        </is>
      </c>
      <c r="B1027" s="1" t="n">
        <v>45562</v>
      </c>
      <c r="C1027" s="1" t="n">
        <v>45565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2024-09-30T16:49:22Z</dcterms:created>
  <dcterms:modified xmlns:dcterms="http://purl.org/dc/terms/" xmlns:xsi="http://www.w3.org/2001/XMLSchema-instance" xsi:type="dcterms:W3CDTF">2024-09-30T16:49:23Z</dcterms:modified>
</cp:coreProperties>
</file>