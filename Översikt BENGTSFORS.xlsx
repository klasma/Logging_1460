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45798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45798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45798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45798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45798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45798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45798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45798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45798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45798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45798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45798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45798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45798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45798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45798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45798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45798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45798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45798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45798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45798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45798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45798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45798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45798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1582-2022</t>
        </is>
      </c>
      <c r="B28" s="1" t="n">
        <v>44573</v>
      </c>
      <c r="C28" s="1" t="n">
        <v>45798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45798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51388-2022</t>
        </is>
      </c>
      <c r="B30" s="1" t="n">
        <v>44866</v>
      </c>
      <c r="C30" s="1" t="n">
        <v>45798</v>
      </c>
      <c r="D30" t="inlineStr">
        <is>
          <t>VÄSTRA GÖTALANDS LÄN</t>
        </is>
      </c>
      <c r="E30" t="inlineStr">
        <is>
          <t>BENGTSFORS</t>
        </is>
      </c>
      <c r="F30" t="inlineStr">
        <is>
          <t>Kyrkan</t>
        </is>
      </c>
      <c r="G30" t="n">
        <v>3.3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Tvåblad</t>
        </is>
      </c>
      <c r="S30">
        <f>HYPERLINK("https://klasma.github.io/Logging_1460/artfynd/A 51388-2022 artfynd.xlsx", "A 51388-2022")</f>
        <v/>
      </c>
      <c r="T30">
        <f>HYPERLINK("https://klasma.github.io/Logging_1460/kartor/A 51388-2022 karta.png", "A 51388-2022")</f>
        <v/>
      </c>
      <c r="V30">
        <f>HYPERLINK("https://klasma.github.io/Logging_1460/klagomål/A 51388-2022 FSC-klagomål.docx", "A 51388-2022")</f>
        <v/>
      </c>
      <c r="W30">
        <f>HYPERLINK("https://klasma.github.io/Logging_1460/klagomålsmail/A 51388-2022 FSC-klagomål mail.docx", "A 51388-2022")</f>
        <v/>
      </c>
      <c r="X30">
        <f>HYPERLINK("https://klasma.github.io/Logging_1460/tillsyn/A 51388-2022 tillsynsbegäran.docx", "A 51388-2022")</f>
        <v/>
      </c>
      <c r="Y30">
        <f>HYPERLINK("https://klasma.github.io/Logging_1460/tillsynsmail/A 51388-2022 tillsynsbegäran mail.docx", "A 51388-2022")</f>
        <v/>
      </c>
    </row>
    <row r="31" ht="15" customHeight="1">
      <c r="A31" t="inlineStr">
        <is>
          <t>A 61611-2022</t>
        </is>
      </c>
      <c r="B31" s="1" t="n">
        <v>44916</v>
      </c>
      <c r="C31" s="1" t="n">
        <v>45798</v>
      </c>
      <c r="D31" t="inlineStr">
        <is>
          <t>VÄSTRA GÖTALANDS LÄN</t>
        </is>
      </c>
      <c r="E31" t="inlineStr">
        <is>
          <t>BENGTSFORS</t>
        </is>
      </c>
      <c r="G31" t="n">
        <v>2.6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Vedticka</t>
        </is>
      </c>
      <c r="S31">
        <f>HYPERLINK("https://klasma.github.io/Logging_1460/artfynd/A 61611-2022 artfynd.xlsx", "A 61611-2022")</f>
        <v/>
      </c>
      <c r="T31">
        <f>HYPERLINK("https://klasma.github.io/Logging_1460/kartor/A 61611-2022 karta.png", "A 61611-2022")</f>
        <v/>
      </c>
      <c r="V31">
        <f>HYPERLINK("https://klasma.github.io/Logging_1460/klagomål/A 61611-2022 FSC-klagomål.docx", "A 61611-2022")</f>
        <v/>
      </c>
      <c r="W31">
        <f>HYPERLINK("https://klasma.github.io/Logging_1460/klagomålsmail/A 61611-2022 FSC-klagomål mail.docx", "A 61611-2022")</f>
        <v/>
      </c>
      <c r="X31">
        <f>HYPERLINK("https://klasma.github.io/Logging_1460/tillsyn/A 61611-2022 tillsynsbegäran.docx", "A 61611-2022")</f>
        <v/>
      </c>
      <c r="Y31">
        <f>HYPERLINK("https://klasma.github.io/Logging_1460/tillsynsmail/A 61611-2022 tillsynsbegäran mail.docx", "A 61611-2022")</f>
        <v/>
      </c>
    </row>
    <row r="32" ht="15" customHeight="1">
      <c r="A32" t="inlineStr">
        <is>
          <t>A 3793-2023</t>
        </is>
      </c>
      <c r="B32" s="1" t="n">
        <v>44951</v>
      </c>
      <c r="C32" s="1" t="n">
        <v>45798</v>
      </c>
      <c r="D32" t="inlineStr">
        <is>
          <t>VÄSTRA GÖTALANDS LÄN</t>
        </is>
      </c>
      <c r="E32" t="inlineStr">
        <is>
          <t>BENGTSFORS</t>
        </is>
      </c>
      <c r="G32" t="n">
        <v>16.4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Nattviol</t>
        </is>
      </c>
      <c r="S32">
        <f>HYPERLINK("https://klasma.github.io/Logging_1460/artfynd/A 3793-2023 artfynd.xlsx", "A 3793-2023")</f>
        <v/>
      </c>
      <c r="T32">
        <f>HYPERLINK("https://klasma.github.io/Logging_1460/kartor/A 3793-2023 karta.png", "A 3793-2023")</f>
        <v/>
      </c>
      <c r="V32">
        <f>HYPERLINK("https://klasma.github.io/Logging_1460/klagomål/A 3793-2023 FSC-klagomål.docx", "A 3793-2023")</f>
        <v/>
      </c>
      <c r="W32">
        <f>HYPERLINK("https://klasma.github.io/Logging_1460/klagomålsmail/A 3793-2023 FSC-klagomål mail.docx", "A 3793-2023")</f>
        <v/>
      </c>
      <c r="X32">
        <f>HYPERLINK("https://klasma.github.io/Logging_1460/tillsyn/A 3793-2023 tillsynsbegäran.docx", "A 3793-2023")</f>
        <v/>
      </c>
      <c r="Y32">
        <f>HYPERLINK("https://klasma.github.io/Logging_1460/tillsynsmail/A 3793-2023 tillsynsbegäran mail.docx", "A 3793-2023")</f>
        <v/>
      </c>
    </row>
    <row r="33" ht="15" customHeight="1">
      <c r="A33" t="inlineStr">
        <is>
          <t>A 12076-2023</t>
        </is>
      </c>
      <c r="B33" s="1" t="n">
        <v>44997</v>
      </c>
      <c r="C33" s="1" t="n">
        <v>45798</v>
      </c>
      <c r="D33" t="inlineStr">
        <is>
          <t>VÄSTRA GÖTALANDS LÄN</t>
        </is>
      </c>
      <c r="E33" t="inlineStr">
        <is>
          <t>BENGTSFORS</t>
        </is>
      </c>
      <c r="G33" t="n">
        <v>5.5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Rödvingetrast
Vanlig groda</t>
        </is>
      </c>
      <c r="S33">
        <f>HYPERLINK("https://klasma.github.io/Logging_1460/artfynd/A 12076-2023 artfynd.xlsx", "A 12076-2023")</f>
        <v/>
      </c>
      <c r="T33">
        <f>HYPERLINK("https://klasma.github.io/Logging_1460/kartor/A 12076-2023 karta.png", "A 12076-2023")</f>
        <v/>
      </c>
      <c r="V33">
        <f>HYPERLINK("https://klasma.github.io/Logging_1460/klagomål/A 12076-2023 FSC-klagomål.docx", "A 12076-2023")</f>
        <v/>
      </c>
      <c r="W33">
        <f>HYPERLINK("https://klasma.github.io/Logging_1460/klagomålsmail/A 12076-2023 FSC-klagomål mail.docx", "A 12076-2023")</f>
        <v/>
      </c>
      <c r="X33">
        <f>HYPERLINK("https://klasma.github.io/Logging_1460/tillsyn/A 12076-2023 tillsynsbegäran.docx", "A 12076-2023")</f>
        <v/>
      </c>
      <c r="Y33">
        <f>HYPERLINK("https://klasma.github.io/Logging_1460/tillsynsmail/A 12076-2023 tillsynsbegäran mail.docx", "A 12076-2023")</f>
        <v/>
      </c>
      <c r="Z33">
        <f>HYPERLINK("https://klasma.github.io/Logging_1460/fåglar/A 12076-2023 prioriterade fågelarter.docx", "A 12076-2023")</f>
        <v/>
      </c>
    </row>
    <row r="34" ht="15" customHeight="1">
      <c r="A34" t="inlineStr">
        <is>
          <t>A 44753-2023</t>
        </is>
      </c>
      <c r="B34" s="1" t="n">
        <v>45184</v>
      </c>
      <c r="C34" s="1" t="n">
        <v>45798</v>
      </c>
      <c r="D34" t="inlineStr">
        <is>
          <t>VÄSTRA GÖTALANDS LÄN</t>
        </is>
      </c>
      <c r="E34" t="inlineStr">
        <is>
          <t>BENGTSFORS</t>
        </is>
      </c>
      <c r="G34" t="n">
        <v>2.2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HYPERLINK("https://klasma.github.io/Logging_1460/artfynd/A 44753-2023 artfynd.xlsx", "A 44753-2023")</f>
        <v/>
      </c>
      <c r="T34">
        <f>HYPERLINK("https://klasma.github.io/Logging_1460/kartor/A 44753-2023 karta.png", "A 44753-2023")</f>
        <v/>
      </c>
      <c r="U34">
        <f>HYPERLINK("https://klasma.github.io/Logging_1460/knärot/A 44753-2023 karta knärot.png", "A 44753-2023")</f>
        <v/>
      </c>
      <c r="V34">
        <f>HYPERLINK("https://klasma.github.io/Logging_1460/klagomål/A 44753-2023 FSC-klagomål.docx", "A 44753-2023")</f>
        <v/>
      </c>
      <c r="W34">
        <f>HYPERLINK("https://klasma.github.io/Logging_1460/klagomålsmail/A 44753-2023 FSC-klagomål mail.docx", "A 44753-2023")</f>
        <v/>
      </c>
      <c r="X34">
        <f>HYPERLINK("https://klasma.github.io/Logging_1460/tillsyn/A 44753-2023 tillsynsbegäran.docx", "A 44753-2023")</f>
        <v/>
      </c>
      <c r="Y34">
        <f>HYPERLINK("https://klasma.github.io/Logging_1460/tillsynsmail/A 44753-2023 tillsynsbegäran mail.docx", "A 44753-2023")</f>
        <v/>
      </c>
    </row>
    <row r="35" ht="15" customHeight="1">
      <c r="A35" t="inlineStr">
        <is>
          <t>A 49689-2023</t>
        </is>
      </c>
      <c r="B35" s="1" t="n">
        <v>45212</v>
      </c>
      <c r="C35" s="1" t="n">
        <v>45798</v>
      </c>
      <c r="D35" t="inlineStr">
        <is>
          <t>VÄSTRA GÖTALANDS LÄN</t>
        </is>
      </c>
      <c r="E35" t="inlineStr">
        <is>
          <t>BENGTSFORS</t>
        </is>
      </c>
      <c r="G35" t="n">
        <v>6.9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Revlummer</t>
        </is>
      </c>
      <c r="S35">
        <f>HYPERLINK("https://klasma.github.io/Logging_1460/artfynd/A 49689-2023 artfynd.xlsx", "A 49689-2023")</f>
        <v/>
      </c>
      <c r="T35">
        <f>HYPERLINK("https://klasma.github.io/Logging_1460/kartor/A 49689-2023 karta.png", "A 49689-2023")</f>
        <v/>
      </c>
      <c r="V35">
        <f>HYPERLINK("https://klasma.github.io/Logging_1460/klagomål/A 49689-2023 FSC-klagomål.docx", "A 49689-2023")</f>
        <v/>
      </c>
      <c r="W35">
        <f>HYPERLINK("https://klasma.github.io/Logging_1460/klagomålsmail/A 49689-2023 FSC-klagomål mail.docx", "A 49689-2023")</f>
        <v/>
      </c>
      <c r="X35">
        <f>HYPERLINK("https://klasma.github.io/Logging_1460/tillsyn/A 49689-2023 tillsynsbegäran.docx", "A 49689-2023")</f>
        <v/>
      </c>
      <c r="Y35">
        <f>HYPERLINK("https://klasma.github.io/Logging_1460/tillsynsmail/A 49689-2023 tillsynsbegäran mail.docx", "A 49689-2023")</f>
        <v/>
      </c>
    </row>
    <row r="36" ht="15" customHeight="1">
      <c r="A36" t="inlineStr">
        <is>
          <t>A 41123-2024</t>
        </is>
      </c>
      <c r="B36" s="1" t="n">
        <v>45559</v>
      </c>
      <c r="C36" s="1" t="n">
        <v>45798</v>
      </c>
      <c r="D36" t="inlineStr">
        <is>
          <t>VÄSTRA GÖTALANDS LÄN</t>
        </is>
      </c>
      <c r="E36" t="inlineStr">
        <is>
          <t>BENGTSFORS</t>
        </is>
      </c>
      <c r="G36" t="n">
        <v>2.4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HYPERLINK("https://klasma.github.io/Logging_1460/artfynd/A 41123-2024 artfynd.xlsx", "A 41123-2024")</f>
        <v/>
      </c>
      <c r="T36">
        <f>HYPERLINK("https://klasma.github.io/Logging_1460/kartor/A 41123-2024 karta.png", "A 41123-2024")</f>
        <v/>
      </c>
      <c r="V36">
        <f>HYPERLINK("https://klasma.github.io/Logging_1460/klagomål/A 41123-2024 FSC-klagomål.docx", "A 41123-2024")</f>
        <v/>
      </c>
      <c r="W36">
        <f>HYPERLINK("https://klasma.github.io/Logging_1460/klagomålsmail/A 41123-2024 FSC-klagomål mail.docx", "A 41123-2024")</f>
        <v/>
      </c>
      <c r="X36">
        <f>HYPERLINK("https://klasma.github.io/Logging_1460/tillsyn/A 41123-2024 tillsynsbegäran.docx", "A 41123-2024")</f>
        <v/>
      </c>
      <c r="Y36">
        <f>HYPERLINK("https://klasma.github.io/Logging_1460/tillsynsmail/A 41123-2024 tillsynsbegäran mail.docx", "A 41123-2024")</f>
        <v/>
      </c>
    </row>
    <row r="37" ht="15" customHeight="1">
      <c r="A37" t="inlineStr">
        <is>
          <t>A 49918-2024</t>
        </is>
      </c>
      <c r="B37" s="1" t="n">
        <v>45597</v>
      </c>
      <c r="C37" s="1" t="n">
        <v>45798</v>
      </c>
      <c r="D37" t="inlineStr">
        <is>
          <t>VÄSTRA GÖTALANDS LÄN</t>
        </is>
      </c>
      <c r="E37" t="inlineStr">
        <is>
          <t>BENGTSFORS</t>
        </is>
      </c>
      <c r="G37" t="n">
        <v>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Ögonpyrola</t>
        </is>
      </c>
      <c r="S37">
        <f>HYPERLINK("https://klasma.github.io/Logging_1460/artfynd/A 49918-2024 artfynd.xlsx", "A 49918-2024")</f>
        <v/>
      </c>
      <c r="T37">
        <f>HYPERLINK("https://klasma.github.io/Logging_1460/kartor/A 49918-2024 karta.png", "A 49918-2024")</f>
        <v/>
      </c>
      <c r="V37">
        <f>HYPERLINK("https://klasma.github.io/Logging_1460/klagomål/A 49918-2024 FSC-klagomål.docx", "A 49918-2024")</f>
        <v/>
      </c>
      <c r="W37">
        <f>HYPERLINK("https://klasma.github.io/Logging_1460/klagomålsmail/A 49918-2024 FSC-klagomål mail.docx", "A 49918-2024")</f>
        <v/>
      </c>
      <c r="X37">
        <f>HYPERLINK("https://klasma.github.io/Logging_1460/tillsyn/A 49918-2024 tillsynsbegäran.docx", "A 49918-2024")</f>
        <v/>
      </c>
      <c r="Y37">
        <f>HYPERLINK("https://klasma.github.io/Logging_1460/tillsynsmail/A 49918-2024 tillsynsbegäran mail.docx", "A 49918-2024")</f>
        <v/>
      </c>
    </row>
    <row r="38" ht="15" customHeight="1">
      <c r="A38" t="inlineStr">
        <is>
          <t>A 7086-2025</t>
        </is>
      </c>
      <c r="B38" s="1" t="n">
        <v>45701</v>
      </c>
      <c r="C38" s="1" t="n">
        <v>45798</v>
      </c>
      <c r="D38" t="inlineStr">
        <is>
          <t>VÄSTRA GÖTALANDS LÄN</t>
        </is>
      </c>
      <c r="E38" t="inlineStr">
        <is>
          <t>BENGTSFORS</t>
        </is>
      </c>
      <c r="G38" t="n">
        <v>3.6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Blåsippa</t>
        </is>
      </c>
      <c r="S38">
        <f>HYPERLINK("https://klasma.github.io/Logging_1460/artfynd/A 7086-2025 artfynd.xlsx", "A 7086-2025")</f>
        <v/>
      </c>
      <c r="T38">
        <f>HYPERLINK("https://klasma.github.io/Logging_1460/kartor/A 7086-2025 karta.png", "A 7086-2025")</f>
        <v/>
      </c>
      <c r="V38">
        <f>HYPERLINK("https://klasma.github.io/Logging_1460/klagomål/A 7086-2025 FSC-klagomål.docx", "A 7086-2025")</f>
        <v/>
      </c>
      <c r="W38">
        <f>HYPERLINK("https://klasma.github.io/Logging_1460/klagomålsmail/A 7086-2025 FSC-klagomål mail.docx", "A 7086-2025")</f>
        <v/>
      </c>
      <c r="X38">
        <f>HYPERLINK("https://klasma.github.io/Logging_1460/tillsyn/A 7086-2025 tillsynsbegäran.docx", "A 7086-2025")</f>
        <v/>
      </c>
      <c r="Y38">
        <f>HYPERLINK("https://klasma.github.io/Logging_1460/tillsynsmail/A 7086-2025 tillsynsbegäran mail.docx", "A 7086-2025")</f>
        <v/>
      </c>
    </row>
    <row r="39" ht="15" customHeight="1">
      <c r="A39" t="inlineStr">
        <is>
          <t>A 19429-2019</t>
        </is>
      </c>
      <c r="B39" s="1" t="n">
        <v>43565</v>
      </c>
      <c r="C39" s="1" t="n">
        <v>45798</v>
      </c>
      <c r="D39" t="inlineStr">
        <is>
          <t>VÄSTRA GÖTALANDS LÄN</t>
        </is>
      </c>
      <c r="E39" t="inlineStr">
        <is>
          <t>BENGTSFORS</t>
        </is>
      </c>
      <c r="G39" t="n">
        <v>10.2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HYPERLINK("https://klasma.github.io/Logging_1460/artfynd/A 19429-2019 artfynd.xlsx", "A 19429-2019")</f>
        <v/>
      </c>
      <c r="T39">
        <f>HYPERLINK("https://klasma.github.io/Logging_1460/kartor/A 19429-2019 karta.png", "A 19429-2019")</f>
        <v/>
      </c>
      <c r="V39">
        <f>HYPERLINK("https://klasma.github.io/Logging_1460/klagomål/A 19429-2019 FSC-klagomål.docx", "A 19429-2019")</f>
        <v/>
      </c>
      <c r="W39">
        <f>HYPERLINK("https://klasma.github.io/Logging_1460/klagomålsmail/A 19429-2019 FSC-klagomål mail.docx", "A 19429-2019")</f>
        <v/>
      </c>
      <c r="X39">
        <f>HYPERLINK("https://klasma.github.io/Logging_1460/tillsyn/A 19429-2019 tillsynsbegäran.docx", "A 19429-2019")</f>
        <v/>
      </c>
      <c r="Y39">
        <f>HYPERLINK("https://klasma.github.io/Logging_1460/tillsynsmail/A 19429-2019 tillsynsbegäran mail.docx", "A 19429-2019")</f>
        <v/>
      </c>
      <c r="Z39">
        <f>HYPERLINK("https://klasma.github.io/Logging_1460/fåglar/A 19429-2019 prioriterade fågelarter.docx", "A 19429-2019")</f>
        <v/>
      </c>
    </row>
    <row r="40" ht="15" customHeight="1">
      <c r="A40" t="inlineStr">
        <is>
          <t>A 20712-2019</t>
        </is>
      </c>
      <c r="B40" s="1" t="n">
        <v>43573</v>
      </c>
      <c r="C40" s="1" t="n">
        <v>45798</v>
      </c>
      <c r="D40" t="inlineStr">
        <is>
          <t>VÄSTRA GÖTALANDS LÄN</t>
        </is>
      </c>
      <c r="E40" t="inlineStr">
        <is>
          <t>BENGTSFORS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HYPERLINK("https://klasma.github.io/Logging_1460/artfynd/A 20712-2019 artfynd.xlsx", "A 20712-2019")</f>
        <v/>
      </c>
      <c r="T40">
        <f>HYPERLINK("https://klasma.github.io/Logging_1460/kartor/A 20712-2019 karta.png", "A 20712-2019")</f>
        <v/>
      </c>
      <c r="V40">
        <f>HYPERLINK("https://klasma.github.io/Logging_1460/klagomål/A 20712-2019 FSC-klagomål.docx", "A 20712-2019")</f>
        <v/>
      </c>
      <c r="W40">
        <f>HYPERLINK("https://klasma.github.io/Logging_1460/klagomålsmail/A 20712-2019 FSC-klagomål mail.docx", "A 20712-2019")</f>
        <v/>
      </c>
      <c r="X40">
        <f>HYPERLINK("https://klasma.github.io/Logging_1460/tillsyn/A 20712-2019 tillsynsbegäran.docx", "A 20712-2019")</f>
        <v/>
      </c>
      <c r="Y40">
        <f>HYPERLINK("https://klasma.github.io/Logging_1460/tillsynsmail/A 20712-2019 tillsynsbegäran mail.docx", "A 20712-2019")</f>
        <v/>
      </c>
    </row>
    <row r="41" ht="15" customHeight="1">
      <c r="A41" t="inlineStr">
        <is>
          <t>A 56938-2019</t>
        </is>
      </c>
      <c r="B41" s="1" t="n">
        <v>43766</v>
      </c>
      <c r="C41" s="1" t="n">
        <v>45798</v>
      </c>
      <c r="D41" t="inlineStr">
        <is>
          <t>VÄSTRA GÖTALANDS LÄN</t>
        </is>
      </c>
      <c r="E41" t="inlineStr">
        <is>
          <t>BENGTSFORS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HYPERLINK("https://klasma.github.io/Logging_1460/artfynd/A 56938-2019 artfynd.xlsx", "A 56938-2019")</f>
        <v/>
      </c>
      <c r="T41">
        <f>HYPERLINK("https://klasma.github.io/Logging_1460/kartor/A 56938-2019 karta.png", "A 56938-2019")</f>
        <v/>
      </c>
      <c r="V41">
        <f>HYPERLINK("https://klasma.github.io/Logging_1460/klagomål/A 56938-2019 FSC-klagomål.docx", "A 56938-2019")</f>
        <v/>
      </c>
      <c r="W41">
        <f>HYPERLINK("https://klasma.github.io/Logging_1460/klagomålsmail/A 56938-2019 FSC-klagomål mail.docx", "A 56938-2019")</f>
        <v/>
      </c>
      <c r="X41">
        <f>HYPERLINK("https://klasma.github.io/Logging_1460/tillsyn/A 56938-2019 tillsynsbegäran.docx", "A 56938-2019")</f>
        <v/>
      </c>
      <c r="Y41">
        <f>HYPERLINK("https://klasma.github.io/Logging_1460/tillsynsmail/A 56938-2019 tillsynsbegäran mail.docx", "A 56938-2019")</f>
        <v/>
      </c>
    </row>
    <row r="42" ht="15" customHeight="1">
      <c r="A42" t="inlineStr">
        <is>
          <t>A 2545-2020</t>
        </is>
      </c>
      <c r="B42" s="1" t="n">
        <v>43847</v>
      </c>
      <c r="C42" s="1" t="n">
        <v>45798</v>
      </c>
      <c r="D42" t="inlineStr">
        <is>
          <t>VÄSTRA GÖTALANDS LÄN</t>
        </is>
      </c>
      <c r="E42" t="inlineStr">
        <is>
          <t>BENGTSFORS</t>
        </is>
      </c>
      <c r="G42" t="n">
        <v>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2545-2020 artfynd.xlsx", "A 2545-2020")</f>
        <v/>
      </c>
      <c r="T42">
        <f>HYPERLINK("https://klasma.github.io/Logging_1460/kartor/A 2545-2020 karta.png", "A 2545-2020")</f>
        <v/>
      </c>
      <c r="V42">
        <f>HYPERLINK("https://klasma.github.io/Logging_1460/klagomål/A 2545-2020 FSC-klagomål.docx", "A 2545-2020")</f>
        <v/>
      </c>
      <c r="W42">
        <f>HYPERLINK("https://klasma.github.io/Logging_1460/klagomålsmail/A 2545-2020 FSC-klagomål mail.docx", "A 2545-2020")</f>
        <v/>
      </c>
      <c r="X42">
        <f>HYPERLINK("https://klasma.github.io/Logging_1460/tillsyn/A 2545-2020 tillsynsbegäran.docx", "A 2545-2020")</f>
        <v/>
      </c>
      <c r="Y42">
        <f>HYPERLINK("https://klasma.github.io/Logging_1460/tillsynsmail/A 2545-2020 tillsynsbegäran mail.docx", "A 2545-2020")</f>
        <v/>
      </c>
      <c r="Z42">
        <f>HYPERLINK("https://klasma.github.io/Logging_1460/fåglar/A 2545-2020 prioriterade fågelarter.docx", "A 2545-2020")</f>
        <v/>
      </c>
    </row>
    <row r="43" ht="15" customHeight="1">
      <c r="A43" t="inlineStr">
        <is>
          <t>A 19722-2020</t>
        </is>
      </c>
      <c r="B43" s="1" t="n">
        <v>43941</v>
      </c>
      <c r="C43" s="1" t="n">
        <v>45798</v>
      </c>
      <c r="D43" t="inlineStr">
        <is>
          <t>VÄSTRA GÖTALANDS LÄN</t>
        </is>
      </c>
      <c r="E43" t="inlineStr">
        <is>
          <t>BENGTSFORS</t>
        </is>
      </c>
      <c r="G43" t="n">
        <v>7.9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19722-2020 artfynd.xlsx", "A 19722-2020")</f>
        <v/>
      </c>
      <c r="T43">
        <f>HYPERLINK("https://klasma.github.io/Logging_1460/kartor/A 19722-2020 karta.png", "A 19722-2020")</f>
        <v/>
      </c>
      <c r="V43">
        <f>HYPERLINK("https://klasma.github.io/Logging_1460/klagomål/A 19722-2020 FSC-klagomål.docx", "A 19722-2020")</f>
        <v/>
      </c>
      <c r="W43">
        <f>HYPERLINK("https://klasma.github.io/Logging_1460/klagomålsmail/A 19722-2020 FSC-klagomål mail.docx", "A 19722-2020")</f>
        <v/>
      </c>
      <c r="X43">
        <f>HYPERLINK("https://klasma.github.io/Logging_1460/tillsyn/A 19722-2020 tillsynsbegäran.docx", "A 19722-2020")</f>
        <v/>
      </c>
      <c r="Y43">
        <f>HYPERLINK("https://klasma.github.io/Logging_1460/tillsynsmail/A 19722-2020 tillsynsbegäran mail.docx", "A 19722-2020")</f>
        <v/>
      </c>
      <c r="Z43">
        <f>HYPERLINK("https://klasma.github.io/Logging_1460/fåglar/A 19722-2020 prioriterade fågelarter.docx", "A 19722-2020")</f>
        <v/>
      </c>
    </row>
    <row r="44" ht="15" customHeight="1">
      <c r="A44" t="inlineStr">
        <is>
          <t>A 41328-2020</t>
        </is>
      </c>
      <c r="B44" s="1" t="n">
        <v>44071</v>
      </c>
      <c r="C44" s="1" t="n">
        <v>45798</v>
      </c>
      <c r="D44" t="inlineStr">
        <is>
          <t>VÄSTRA GÖTALANDS LÄN</t>
        </is>
      </c>
      <c r="E44" t="inlineStr">
        <is>
          <t>BENGTSFORS</t>
        </is>
      </c>
      <c r="G44" t="n">
        <v>6.3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41328-2020 artfynd.xlsx", "A 41328-2020")</f>
        <v/>
      </c>
      <c r="T44">
        <f>HYPERLINK("https://klasma.github.io/Logging_1460/kartor/A 41328-2020 karta.png", "A 41328-2020")</f>
        <v/>
      </c>
      <c r="V44">
        <f>HYPERLINK("https://klasma.github.io/Logging_1460/klagomål/A 41328-2020 FSC-klagomål.docx", "A 41328-2020")</f>
        <v/>
      </c>
      <c r="W44">
        <f>HYPERLINK("https://klasma.github.io/Logging_1460/klagomålsmail/A 41328-2020 FSC-klagomål mail.docx", "A 41328-2020")</f>
        <v/>
      </c>
      <c r="X44">
        <f>HYPERLINK("https://klasma.github.io/Logging_1460/tillsyn/A 41328-2020 tillsynsbegäran.docx", "A 41328-2020")</f>
        <v/>
      </c>
      <c r="Y44">
        <f>HYPERLINK("https://klasma.github.io/Logging_1460/tillsynsmail/A 41328-2020 tillsynsbegäran mail.docx", "A 41328-2020")</f>
        <v/>
      </c>
      <c r="Z44">
        <f>HYPERLINK("https://klasma.github.io/Logging_1460/fåglar/A 41328-2020 prioriterade fågelarter.docx", "A 41328-2020")</f>
        <v/>
      </c>
    </row>
    <row r="45" ht="15" customHeight="1">
      <c r="A45" t="inlineStr">
        <is>
          <t>A 9043-2021</t>
        </is>
      </c>
      <c r="B45" s="1" t="n">
        <v>44249</v>
      </c>
      <c r="C45" s="1" t="n">
        <v>45798</v>
      </c>
      <c r="D45" t="inlineStr">
        <is>
          <t>VÄSTRA GÖTALANDS LÄN</t>
        </is>
      </c>
      <c r="E45" t="inlineStr">
        <is>
          <t>BENGTSFORS</t>
        </is>
      </c>
      <c r="G45" t="n">
        <v>4.2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Violettkantad guldvinge</t>
        </is>
      </c>
      <c r="S45">
        <f>HYPERLINK("https://klasma.github.io/Logging_1460/artfynd/A 9043-2021 artfynd.xlsx", "A 9043-2021")</f>
        <v/>
      </c>
      <c r="T45">
        <f>HYPERLINK("https://klasma.github.io/Logging_1460/kartor/A 9043-2021 karta.png", "A 9043-2021")</f>
        <v/>
      </c>
      <c r="V45">
        <f>HYPERLINK("https://klasma.github.io/Logging_1460/klagomål/A 9043-2021 FSC-klagomål.docx", "A 9043-2021")</f>
        <v/>
      </c>
      <c r="W45">
        <f>HYPERLINK("https://klasma.github.io/Logging_1460/klagomålsmail/A 9043-2021 FSC-klagomål mail.docx", "A 9043-2021")</f>
        <v/>
      </c>
      <c r="X45">
        <f>HYPERLINK("https://klasma.github.io/Logging_1460/tillsyn/A 9043-2021 tillsynsbegäran.docx", "A 9043-2021")</f>
        <v/>
      </c>
      <c r="Y45">
        <f>HYPERLINK("https://klasma.github.io/Logging_1460/tillsynsmail/A 9043-2021 tillsynsbegäran mail.docx", "A 9043-2021")</f>
        <v/>
      </c>
    </row>
    <row r="46" ht="15" customHeight="1">
      <c r="A46" t="inlineStr">
        <is>
          <t>A 23226-2021</t>
        </is>
      </c>
      <c r="B46" s="1" t="n">
        <v>44333</v>
      </c>
      <c r="C46" s="1" t="n">
        <v>45798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HYPERLINK("https://klasma.github.io/Logging_1460/artfynd/A 23226-2021 artfynd.xlsx", "A 23226-2021")</f>
        <v/>
      </c>
      <c r="T46">
        <f>HYPERLINK("https://klasma.github.io/Logging_1460/kartor/A 23226-2021 karta.png", "A 23226-2021")</f>
        <v/>
      </c>
      <c r="V46">
        <f>HYPERLINK("https://klasma.github.io/Logging_1460/klagomål/A 23226-2021 FSC-klagomål.docx", "A 23226-2021")</f>
        <v/>
      </c>
      <c r="W46">
        <f>HYPERLINK("https://klasma.github.io/Logging_1460/klagomålsmail/A 23226-2021 FSC-klagomål mail.docx", "A 23226-2021")</f>
        <v/>
      </c>
      <c r="X46">
        <f>HYPERLINK("https://klasma.github.io/Logging_1460/tillsyn/A 23226-2021 tillsynsbegäran.docx", "A 23226-2021")</f>
        <v/>
      </c>
      <c r="Y46">
        <f>HYPERLINK("https://klasma.github.io/Logging_1460/tillsynsmail/A 23226-2021 tillsynsbegäran mail.docx", "A 23226-2021")</f>
        <v/>
      </c>
    </row>
    <row r="47" ht="15" customHeight="1">
      <c r="A47" t="inlineStr">
        <is>
          <t>A 28779-2021</t>
        </is>
      </c>
      <c r="B47" s="1" t="n">
        <v>44357</v>
      </c>
      <c r="C47" s="1" t="n">
        <v>45798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Enkelbeckasin</t>
        </is>
      </c>
      <c r="S47">
        <f>HYPERLINK("https://klasma.github.io/Logging_1460/artfynd/A 28779-2021 artfynd.xlsx", "A 28779-2021")</f>
        <v/>
      </c>
      <c r="T47">
        <f>HYPERLINK("https://klasma.github.io/Logging_1460/kartor/A 28779-2021 karta.png", "A 28779-2021")</f>
        <v/>
      </c>
      <c r="V47">
        <f>HYPERLINK("https://klasma.github.io/Logging_1460/klagomål/A 28779-2021 FSC-klagomål.docx", "A 28779-2021")</f>
        <v/>
      </c>
      <c r="W47">
        <f>HYPERLINK("https://klasma.github.io/Logging_1460/klagomålsmail/A 28779-2021 FSC-klagomål mail.docx", "A 28779-2021")</f>
        <v/>
      </c>
      <c r="X47">
        <f>HYPERLINK("https://klasma.github.io/Logging_1460/tillsyn/A 28779-2021 tillsynsbegäran.docx", "A 28779-2021")</f>
        <v/>
      </c>
      <c r="Y47">
        <f>HYPERLINK("https://klasma.github.io/Logging_1460/tillsynsmail/A 28779-2021 tillsynsbegäran mail.docx", "A 28779-2021")</f>
        <v/>
      </c>
      <c r="Z47">
        <f>HYPERLINK("https://klasma.github.io/Logging_1460/fåglar/A 28779-2021 prioriterade fågelarter.docx", "A 28779-2021")</f>
        <v/>
      </c>
    </row>
    <row r="48" ht="15" customHeight="1">
      <c r="A48" t="inlineStr">
        <is>
          <t>A 39804-2021</t>
        </is>
      </c>
      <c r="B48" s="1" t="n">
        <v>44417</v>
      </c>
      <c r="C48" s="1" t="n">
        <v>45798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HYPERLINK("https://klasma.github.io/Logging_1460/artfynd/A 39804-2021 artfynd.xlsx", "A 39804-2021")</f>
        <v/>
      </c>
      <c r="T48">
        <f>HYPERLINK("https://klasma.github.io/Logging_1460/kartor/A 39804-2021 karta.png", "A 39804-2021")</f>
        <v/>
      </c>
      <c r="V48">
        <f>HYPERLINK("https://klasma.github.io/Logging_1460/klagomål/A 39804-2021 FSC-klagomål.docx", "A 39804-2021")</f>
        <v/>
      </c>
      <c r="W48">
        <f>HYPERLINK("https://klasma.github.io/Logging_1460/klagomålsmail/A 39804-2021 FSC-klagomål mail.docx", "A 39804-2021")</f>
        <v/>
      </c>
      <c r="X48">
        <f>HYPERLINK("https://klasma.github.io/Logging_1460/tillsyn/A 39804-2021 tillsynsbegäran.docx", "A 39804-2021")</f>
        <v/>
      </c>
      <c r="Y48">
        <f>HYPERLINK("https://klasma.github.io/Logging_1460/tillsynsmail/A 39804-2021 tillsynsbegäran mail.docx", "A 39804-2021")</f>
        <v/>
      </c>
    </row>
    <row r="49" ht="15" customHeight="1">
      <c r="A49" t="inlineStr">
        <is>
          <t>A 47082-2021</t>
        </is>
      </c>
      <c r="B49" s="1" t="n">
        <v>44446</v>
      </c>
      <c r="C49" s="1" t="n">
        <v>45798</v>
      </c>
      <c r="D49" t="inlineStr">
        <is>
          <t>VÄSTRA GÖTALANDS LÄN</t>
        </is>
      </c>
      <c r="E49" t="inlineStr">
        <is>
          <t>BENGTSFORS</t>
        </is>
      </c>
      <c r="G49" t="n">
        <v>2.6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HYPERLINK("https://klasma.github.io/Logging_1460/artfynd/A 47082-2021 artfynd.xlsx", "A 47082-2021")</f>
        <v/>
      </c>
      <c r="T49">
        <f>HYPERLINK("https://klasma.github.io/Logging_1460/kartor/A 47082-2021 karta.png", "A 47082-2021")</f>
        <v/>
      </c>
      <c r="V49">
        <f>HYPERLINK("https://klasma.github.io/Logging_1460/klagomål/A 47082-2021 FSC-klagomål.docx", "A 47082-2021")</f>
        <v/>
      </c>
      <c r="W49">
        <f>HYPERLINK("https://klasma.github.io/Logging_1460/klagomålsmail/A 47082-2021 FSC-klagomål mail.docx", "A 47082-2021")</f>
        <v/>
      </c>
      <c r="X49">
        <f>HYPERLINK("https://klasma.github.io/Logging_1460/tillsyn/A 47082-2021 tillsynsbegäran.docx", "A 47082-2021")</f>
        <v/>
      </c>
      <c r="Y49">
        <f>HYPERLINK("https://klasma.github.io/Logging_1460/tillsynsmail/A 47082-2021 tillsynsbegäran mail.docx", "A 47082-2021")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45798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45798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45798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45798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45798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45798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45798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45798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45798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45798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45798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45798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45798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45798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2504-2024</t>
        </is>
      </c>
      <c r="B64" s="1" t="n">
        <v>45313</v>
      </c>
      <c r="C64" s="1" t="n">
        <v>45798</v>
      </c>
      <c r="D64" t="inlineStr">
        <is>
          <t>VÄSTRA GÖTALANDS LÄN</t>
        </is>
      </c>
      <c r="E64" t="inlineStr">
        <is>
          <t>BENGTSFORS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HYPERLINK("https://klasma.github.io/Logging_1460/artfynd/A 2504-2024 artfynd.xlsx", "A 2504-2024")</f>
        <v/>
      </c>
      <c r="T64">
        <f>HYPERLINK("https://klasma.github.io/Logging_1460/kartor/A 2504-2024 karta.png", "A 2504-2024")</f>
        <v/>
      </c>
      <c r="V64">
        <f>HYPERLINK("https://klasma.github.io/Logging_1460/klagomål/A 2504-2024 FSC-klagomål.docx", "A 2504-2024")</f>
        <v/>
      </c>
      <c r="W64">
        <f>HYPERLINK("https://klasma.github.io/Logging_1460/klagomålsmail/A 2504-2024 FSC-klagomål mail.docx", "A 2504-2024")</f>
        <v/>
      </c>
      <c r="X64">
        <f>HYPERLINK("https://klasma.github.io/Logging_1460/tillsyn/A 2504-2024 tillsynsbegäran.docx", "A 2504-2024")</f>
        <v/>
      </c>
      <c r="Y64">
        <f>HYPERLINK("https://klasma.github.io/Logging_1460/tillsynsmail/A 2504-2024 tillsynsbegäran mail.docx", "A 2504-2024")</f>
        <v/>
      </c>
    </row>
    <row r="65" ht="15" customHeight="1">
      <c r="A65" t="inlineStr">
        <is>
          <t>A 5095-2024</t>
        </is>
      </c>
      <c r="B65" s="1" t="n">
        <v>45330</v>
      </c>
      <c r="C65" s="1" t="n">
        <v>45798</v>
      </c>
      <c r="D65" t="inlineStr">
        <is>
          <t>VÄSTRA GÖTALANDS LÄN</t>
        </is>
      </c>
      <c r="E65" t="inlineStr">
        <is>
          <t>BENGTSFORS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HYPERLINK("https://klasma.github.io/Logging_1460/artfynd/A 5095-2024 artfynd.xlsx", "A 5095-2024")</f>
        <v/>
      </c>
      <c r="T65">
        <f>HYPERLINK("https://klasma.github.io/Logging_1460/kartor/A 5095-2024 karta.png", "A 5095-2024")</f>
        <v/>
      </c>
      <c r="V65">
        <f>HYPERLINK("https://klasma.github.io/Logging_1460/klagomål/A 5095-2024 FSC-klagomål.docx", "A 5095-2024")</f>
        <v/>
      </c>
      <c r="W65">
        <f>HYPERLINK("https://klasma.github.io/Logging_1460/klagomålsmail/A 5095-2024 FSC-klagomål mail.docx", "A 5095-2024")</f>
        <v/>
      </c>
      <c r="X65">
        <f>HYPERLINK("https://klasma.github.io/Logging_1460/tillsyn/A 5095-2024 tillsynsbegäran.docx", "A 5095-2024")</f>
        <v/>
      </c>
      <c r="Y65">
        <f>HYPERLINK("https://klasma.github.io/Logging_1460/tillsynsmail/A 5095-2024 tillsynsbegäran mail.docx", "A 5095-2024")</f>
        <v/>
      </c>
    </row>
    <row r="66" ht="15" customHeight="1">
      <c r="A66" t="inlineStr">
        <is>
          <t>A 5971-2024</t>
        </is>
      </c>
      <c r="B66" s="1" t="n">
        <v>45336</v>
      </c>
      <c r="C66" s="1" t="n">
        <v>45798</v>
      </c>
      <c r="D66" t="inlineStr">
        <is>
          <t>VÄSTRA GÖTALANDS LÄN</t>
        </is>
      </c>
      <c r="E66" t="inlineStr">
        <is>
          <t>BENGTSFORS</t>
        </is>
      </c>
      <c r="G66" t="n">
        <v>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HYPERLINK("https://klasma.github.io/Logging_1460/artfynd/A 5971-2024 artfynd.xlsx", "A 5971-2024")</f>
        <v/>
      </c>
      <c r="T66">
        <f>HYPERLINK("https://klasma.github.io/Logging_1460/kartor/A 5971-2024 karta.png", "A 5971-2024")</f>
        <v/>
      </c>
      <c r="V66">
        <f>HYPERLINK("https://klasma.github.io/Logging_1460/klagomål/A 5971-2024 FSC-klagomål.docx", "A 5971-2024")</f>
        <v/>
      </c>
      <c r="W66">
        <f>HYPERLINK("https://klasma.github.io/Logging_1460/klagomålsmail/A 5971-2024 FSC-klagomål mail.docx", "A 5971-2024")</f>
        <v/>
      </c>
      <c r="X66">
        <f>HYPERLINK("https://klasma.github.io/Logging_1460/tillsyn/A 5971-2024 tillsynsbegäran.docx", "A 5971-2024")</f>
        <v/>
      </c>
      <c r="Y66">
        <f>HYPERLINK("https://klasma.github.io/Logging_1460/tillsynsmail/A 5971-2024 tillsynsbegäran mail.docx", "A 5971-2024")</f>
        <v/>
      </c>
    </row>
    <row r="67" ht="15" customHeight="1">
      <c r="A67" t="inlineStr">
        <is>
          <t>A 24247-2024</t>
        </is>
      </c>
      <c r="B67" s="1" t="n">
        <v>45457</v>
      </c>
      <c r="C67" s="1" t="n">
        <v>45798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Kyrkan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HYPERLINK("https://klasma.github.io/Logging_1460/artfynd/A 24247-2024 artfynd.xlsx", "A 24247-2024")</f>
        <v/>
      </c>
      <c r="T67">
        <f>HYPERLINK("https://klasma.github.io/Logging_1460/kartor/A 24247-2024 karta.png", "A 24247-2024")</f>
        <v/>
      </c>
      <c r="V67">
        <f>HYPERLINK("https://klasma.github.io/Logging_1460/klagomål/A 24247-2024 FSC-klagomål.docx", "A 24247-2024")</f>
        <v/>
      </c>
      <c r="W67">
        <f>HYPERLINK("https://klasma.github.io/Logging_1460/klagomålsmail/A 24247-2024 FSC-klagomål mail.docx", "A 24247-2024")</f>
        <v/>
      </c>
      <c r="X67">
        <f>HYPERLINK("https://klasma.github.io/Logging_1460/tillsyn/A 24247-2024 tillsynsbegäran.docx", "A 24247-2024")</f>
        <v/>
      </c>
      <c r="Y67">
        <f>HYPERLINK("https://klasma.github.io/Logging_1460/tillsynsmail/A 24247-2024 tillsynsbegäran mail.docx", "A 24247-2024")</f>
        <v/>
      </c>
    </row>
    <row r="68" ht="15" customHeight="1">
      <c r="A68" t="inlineStr">
        <is>
          <t>A 27751-2024</t>
        </is>
      </c>
      <c r="B68" s="1" t="n">
        <v>45475</v>
      </c>
      <c r="C68" s="1" t="n">
        <v>45798</v>
      </c>
      <c r="D68" t="inlineStr">
        <is>
          <t>VÄSTRA GÖTALANDS LÄN</t>
        </is>
      </c>
      <c r="E68" t="inlineStr">
        <is>
          <t>BENGTSFORS</t>
        </is>
      </c>
      <c r="G68" t="n">
        <v>5.3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Hornuggla</t>
        </is>
      </c>
      <c r="S68">
        <f>HYPERLINK("https://klasma.github.io/Logging_1460/artfynd/A 27751-2024 artfynd.xlsx", "A 27751-2024")</f>
        <v/>
      </c>
      <c r="T68">
        <f>HYPERLINK("https://klasma.github.io/Logging_1460/kartor/A 27751-2024 karta.png", "A 27751-2024")</f>
        <v/>
      </c>
      <c r="V68">
        <f>HYPERLINK("https://klasma.github.io/Logging_1460/klagomål/A 27751-2024 FSC-klagomål.docx", "A 27751-2024")</f>
        <v/>
      </c>
      <c r="W68">
        <f>HYPERLINK("https://klasma.github.io/Logging_1460/klagomålsmail/A 27751-2024 FSC-klagomål mail.docx", "A 27751-2024")</f>
        <v/>
      </c>
      <c r="X68">
        <f>HYPERLINK("https://klasma.github.io/Logging_1460/tillsyn/A 27751-2024 tillsynsbegäran.docx", "A 27751-2024")</f>
        <v/>
      </c>
      <c r="Y68">
        <f>HYPERLINK("https://klasma.github.io/Logging_1460/tillsynsmail/A 27751-2024 tillsynsbegäran mail.docx", "A 27751-2024")</f>
        <v/>
      </c>
      <c r="Z68">
        <f>HYPERLINK("https://klasma.github.io/Logging_1460/fåglar/A 27751-2024 prioriterade fågelarter.docx", "A 27751-2024")</f>
        <v/>
      </c>
    </row>
    <row r="69" ht="15" customHeight="1">
      <c r="A69" t="inlineStr">
        <is>
          <t>A 28280-2024</t>
        </is>
      </c>
      <c r="B69" s="1" t="n">
        <v>45477</v>
      </c>
      <c r="C69" s="1" t="n">
        <v>45798</v>
      </c>
      <c r="D69" t="inlineStr">
        <is>
          <t>VÄSTRA GÖTALANDS LÄN</t>
        </is>
      </c>
      <c r="E69" t="inlineStr">
        <is>
          <t>BENGTSFORS</t>
        </is>
      </c>
      <c r="G69" t="n">
        <v>6.2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HYPERLINK("https://klasma.github.io/Logging_1460/artfynd/A 28280-2024 artfynd.xlsx", "A 28280-2024")</f>
        <v/>
      </c>
      <c r="T69">
        <f>HYPERLINK("https://klasma.github.io/Logging_1460/kartor/A 28280-2024 karta.png", "A 28280-2024")</f>
        <v/>
      </c>
      <c r="V69">
        <f>HYPERLINK("https://klasma.github.io/Logging_1460/klagomål/A 28280-2024 FSC-klagomål.docx", "A 28280-2024")</f>
        <v/>
      </c>
      <c r="W69">
        <f>HYPERLINK("https://klasma.github.io/Logging_1460/klagomålsmail/A 28280-2024 FSC-klagomål mail.docx", "A 28280-2024")</f>
        <v/>
      </c>
      <c r="X69">
        <f>HYPERLINK("https://klasma.github.io/Logging_1460/tillsyn/A 28280-2024 tillsynsbegäran.docx", "A 28280-2024")</f>
        <v/>
      </c>
      <c r="Y69">
        <f>HYPERLINK("https://klasma.github.io/Logging_1460/tillsynsmail/A 28280-2024 tillsynsbegäran mail.docx", "A 28280-2024")</f>
        <v/>
      </c>
    </row>
    <row r="70" ht="15" customHeight="1">
      <c r="A70" t="inlineStr">
        <is>
          <t>A 29775-2024</t>
        </is>
      </c>
      <c r="B70" s="1" t="n">
        <v>45485</v>
      </c>
      <c r="C70" s="1" t="n">
        <v>45798</v>
      </c>
      <c r="D70" t="inlineStr">
        <is>
          <t>VÄSTRA GÖTALANDS LÄN</t>
        </is>
      </c>
      <c r="E70" t="inlineStr">
        <is>
          <t>BENGTSFORS</t>
        </is>
      </c>
      <c r="G70" t="n">
        <v>7.2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HYPERLINK("https://klasma.github.io/Logging_1460/artfynd/A 29775-2024 artfynd.xlsx", "A 29775-2024")</f>
        <v/>
      </c>
      <c r="T70">
        <f>HYPERLINK("https://klasma.github.io/Logging_1460/kartor/A 29775-2024 karta.png", "A 29775-2024")</f>
        <v/>
      </c>
      <c r="V70">
        <f>HYPERLINK("https://klasma.github.io/Logging_1460/klagomål/A 29775-2024 FSC-klagomål.docx", "A 29775-2024")</f>
        <v/>
      </c>
      <c r="W70">
        <f>HYPERLINK("https://klasma.github.io/Logging_1460/klagomålsmail/A 29775-2024 FSC-klagomål mail.docx", "A 29775-2024")</f>
        <v/>
      </c>
      <c r="X70">
        <f>HYPERLINK("https://klasma.github.io/Logging_1460/tillsyn/A 29775-2024 tillsynsbegäran.docx", "A 29775-2024")</f>
        <v/>
      </c>
      <c r="Y70">
        <f>HYPERLINK("https://klasma.github.io/Logging_1460/tillsynsmail/A 29775-2024 tillsynsbegäran mail.docx", "A 29775-2024")</f>
        <v/>
      </c>
    </row>
    <row r="71" ht="15" customHeight="1">
      <c r="A71" t="inlineStr">
        <is>
          <t>A 41138-2024</t>
        </is>
      </c>
      <c r="B71" s="1" t="n">
        <v>45559</v>
      </c>
      <c r="C71" s="1" t="n">
        <v>45798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HYPERLINK("https://klasma.github.io/Logging_1460/artfynd/A 41138-2024 artfynd.xlsx", "A 41138-2024")</f>
        <v/>
      </c>
      <c r="T71">
        <f>HYPERLINK("https://klasma.github.io/Logging_1460/kartor/A 41138-2024 karta.png", "A 41138-2024")</f>
        <v/>
      </c>
      <c r="V71">
        <f>HYPERLINK("https://klasma.github.io/Logging_1460/klagomål/A 41138-2024 FSC-klagomål.docx", "A 41138-2024")</f>
        <v/>
      </c>
      <c r="W71">
        <f>HYPERLINK("https://klasma.github.io/Logging_1460/klagomålsmail/A 41138-2024 FSC-klagomål mail.docx", "A 41138-2024")</f>
        <v/>
      </c>
      <c r="X71">
        <f>HYPERLINK("https://klasma.github.io/Logging_1460/tillsyn/A 41138-2024 tillsynsbegäran.docx", "A 41138-2024")</f>
        <v/>
      </c>
      <c r="Y71">
        <f>HYPERLINK("https://klasma.github.io/Logging_1460/tillsynsmail/A 41138-2024 tillsynsbegäran mail.docx", "A 41138-2024")</f>
        <v/>
      </c>
      <c r="Z71">
        <f>HYPERLINK("https://klasma.github.io/Logging_1460/fåglar/A 41138-2024 prioriterade fågelarter.docx", "A 41138-2024")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45798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45798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45798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45798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45798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45798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45798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45798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45798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45798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45798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45798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45798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45798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45798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45798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45798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45798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45798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45798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45798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45798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45798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45798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45798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45798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45798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45798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45798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45798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45798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45798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45798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45798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45798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45798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45798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45798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45798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45798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45798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45798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45798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45798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45798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45798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45798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45798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45798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45798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45798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45798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45798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45798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45798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45798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45798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45798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45798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45798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45798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45798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45798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45798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45798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45798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45798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45798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45798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45798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45798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45798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45798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45798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45798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45798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45798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45798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45798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45798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45798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45798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45798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45798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45798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45798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45798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45798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45798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45798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45798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45798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45798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45798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45798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45798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45798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45798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45798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45798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45798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45798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45798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45798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45798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45798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45798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45798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45798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45798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45798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45798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45798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45798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45798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45798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45798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45798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45798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45798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45798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45798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45798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45798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45798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45798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45798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45798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45798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45798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45798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45798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45798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45798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45798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45798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45798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45798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45798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45798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45798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45798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45798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45798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45798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45798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45798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45798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45798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45798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45798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45798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45798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45798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45798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45798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45798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45798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45798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45798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45798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45798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45798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45798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45798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45798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45798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45798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45798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45798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45798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45798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45798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45798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45798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45798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45798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45798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45798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45798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45798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45798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45798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45798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45798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45798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45798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45798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45798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45798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45798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45798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45798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45798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45798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45798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45798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45798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45798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45798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45798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45798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45798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45798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45798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45798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45798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45798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45798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45798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45798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45798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45798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45798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45798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45798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45798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45798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45798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45798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45798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45798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45798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45798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45798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45798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45798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45798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45798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45798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45798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45798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45798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45798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45798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45798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45798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45798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45798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45798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45798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45798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45798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45798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45798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45798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45798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45798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45798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45798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45798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45798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45798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45798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45798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45798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45798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45798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45798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45798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45798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45798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45798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45798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45798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45798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45798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45798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45798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45798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45798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45798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45798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45798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45798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45798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45798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45798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45798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45798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45798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45798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45798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45798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45798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45798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45798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45798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45798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45798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45798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45798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45798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45798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45798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45798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45798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45798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45798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45798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45798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45798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45798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45798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45798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45798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45798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45798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45798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45798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45798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45798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45798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45798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45798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45798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45798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45798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45798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45798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45798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45798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45798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45798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45798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45798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45798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45798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45798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45798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45798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45798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45798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45798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45798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45798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45798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45798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45798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45798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45798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45798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45798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45798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45798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45798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45798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45798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45798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45798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45798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45798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45798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45798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45798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45798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45798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45798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45798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45798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45798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45798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45798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45798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45798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45798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45798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45798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45798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45798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45798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45798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45798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45798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45798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45798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45798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45798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45798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45798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45798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45798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45798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45798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45798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45798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45798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45798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45798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45798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45798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45798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45798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45798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45798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45798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45798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45798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45798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45798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45798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45798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45798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45798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45798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45798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45798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45798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45798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45798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45798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45798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45798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45798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45798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45798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45798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45798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45798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45798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45798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45798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45798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45798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45798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45798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45798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45798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45798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45798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45798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45798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45798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45798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45798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45798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45798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45798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45798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45798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45798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45798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45798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45798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45798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45798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45798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45798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45798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45798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45798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45798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45798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45798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45798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45798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45798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45798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45798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45798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45798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45798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45798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45798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45798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45798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45798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45798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45798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45798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45798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45798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45798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45798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45798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45798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45798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45798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45798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45798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45798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45798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45798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45798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45798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45798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45798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45798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45798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45798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45798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45798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45798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45798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45798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45798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45798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45798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45798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45798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45798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45798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45798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45798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45798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45798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45798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45798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45798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45798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45798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45798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45798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45798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45798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45798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45798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45798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45798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45798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45798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45798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45798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45798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45798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45798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45798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45798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45798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45798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45798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45798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45798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45798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45798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45798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45798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45798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45798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45798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45798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45798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45798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45798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45798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45798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45798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45798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45798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45798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45798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45798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45798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45798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45798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45798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45798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45798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45798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45798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45798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45798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45798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45798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45798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45798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45798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45798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45798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45798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45798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45798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45798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45798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45798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45798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45798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45798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45798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45798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45798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45798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45798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45798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45798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45798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45798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45798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45798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45798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45798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45798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45798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45798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45798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45798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45798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45798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45798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45798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45798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45798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45798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45798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45798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45798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45798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45798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45798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45798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45798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45798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45798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45798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45798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45798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45798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45798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45798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45798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45798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45798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45798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45798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45798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45798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45798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45798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45798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45798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45798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45798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45798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45798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45798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45798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45798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45798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45798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45798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45798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45798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45798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45798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45798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45798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45798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45798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45798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45798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45798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45798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45798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45798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45798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45798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45798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45798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45798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45798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45798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45798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45798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45798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45798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45798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45798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45798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45798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45798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45798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45798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45798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45798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45798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45798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45798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45798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45798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45798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45798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45798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45798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45798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45798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45798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45798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45798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45798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45798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45798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45798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45798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45798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45798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45798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45798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45798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45798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45798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45798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45798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45798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45798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45798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45798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45798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45798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45798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45798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45798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45798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45798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45798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45798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45798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45798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45798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45798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45798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45798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45798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45798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45798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45798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45798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45798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45798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45798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45798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45798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45798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45798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45798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45798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45798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45798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45798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45798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45798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45798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45798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45798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45798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45798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45798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45798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45798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45798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45798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45798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45798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45798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45798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45798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45798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45798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45798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45798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45798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45798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45798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45798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45798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45798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45798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45798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45798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45798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45798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45798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45798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45798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45798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45798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45798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45798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45798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45798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45798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45798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45798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45798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45798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45798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45798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45798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45798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45798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45798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45798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45798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45798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45798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45798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45798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45798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45798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45798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45798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45798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45798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45798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45798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45798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45798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45798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45798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45798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45798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45798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45798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45798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45798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45798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45798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45798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45798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45798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45798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45798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45798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45798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45798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45798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45798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45798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45798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45798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45798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45798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45798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45798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45798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45798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45798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45798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45798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45798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45798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45798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45798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45798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45798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45798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45798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45798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45798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45798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45798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45798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45798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45798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45798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45798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45798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45798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45798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45798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45798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45798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45798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45798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45798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45798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45798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45798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45798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45798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45798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45798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45798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45798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45798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45798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45798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45798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45798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45798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45798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45798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45798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45798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45798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45798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45798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45798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45798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45798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45798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45798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45798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45798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45798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45798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45798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45798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45798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45798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45798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45798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45798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45798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45798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45798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45798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45798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45798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45798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45798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45798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45798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45798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45798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45798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45798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45798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45798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45798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45798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45798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45798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45798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45798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45798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45798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45798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45798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45798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45798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45798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45798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45798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45798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45798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45798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45798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45798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45798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45798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45798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45798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45798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45798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45798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45798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45798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45798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45798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45798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45798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45798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45798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45798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45798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45798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45798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45798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45798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45798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45798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45798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45798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45798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45798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45798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45798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45798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45798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45798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45798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45798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45798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45798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45798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45798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45798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45798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45798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45798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45798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45798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45798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45798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45798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45798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45798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45798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45798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45798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45798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45798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45798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45798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45798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45798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45798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45798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45798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45798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45798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45798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45798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45798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45798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45798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45798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45798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45798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45798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45798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45798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45798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45798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45798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45798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45798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45798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45798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45798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45798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45798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45798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45798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45798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45798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45798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45798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45798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45798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45798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45798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45798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45798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45798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45798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45798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45798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45798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45798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45798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45798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45798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45798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45798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45798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45798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45798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45798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45798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45798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45798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45798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45798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45798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45798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45798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45798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45798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45798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45798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45798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45798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45798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45798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45798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45798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45798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45798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45798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45798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45798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45798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45798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45798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45798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45798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45798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45798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45798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45798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45798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45798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45798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45798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45798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45798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45798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45798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45798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45798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45798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45798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45798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45798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45798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45798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45798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45798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45798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45798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45798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45798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45798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45798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45798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45798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45798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45798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45798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45798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45798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45798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45798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45798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45798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45798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45798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45798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45798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45798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45798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45798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45798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45798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45798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45798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45798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45798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45798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45798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45798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45798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45798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45798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45798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45798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45798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45798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45798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45798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45798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45798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45798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45798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45798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45798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45798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45798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45798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45798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45798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45798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45798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45798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45798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45798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45798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20167-2025</t>
        </is>
      </c>
      <c r="B1230" s="1" t="n">
        <v>45772</v>
      </c>
      <c r="C1230" s="1" t="n">
        <v>45798</v>
      </c>
      <c r="D1230" t="inlineStr">
        <is>
          <t>VÄSTRA GÖTALANDS LÄN</t>
        </is>
      </c>
      <c r="E1230" t="inlineStr">
        <is>
          <t>BENGTSFORS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20118-2025</t>
        </is>
      </c>
      <c r="B1231" s="1" t="n">
        <v>45772</v>
      </c>
      <c r="C1231" s="1" t="n">
        <v>45798</v>
      </c>
      <c r="D1231" t="inlineStr">
        <is>
          <t>VÄSTRA GÖTALANDS LÄN</t>
        </is>
      </c>
      <c r="E1231" t="inlineStr">
        <is>
          <t>BENGTSFORS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20112-2025</t>
        </is>
      </c>
      <c r="B1232" s="1" t="n">
        <v>45772</v>
      </c>
      <c r="C1232" s="1" t="n">
        <v>45798</v>
      </c>
      <c r="D1232" t="inlineStr">
        <is>
          <t>VÄSTRA GÖTALANDS LÄN</t>
        </is>
      </c>
      <c r="E1232" t="inlineStr">
        <is>
          <t>BENGTSFORS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20246-2025</t>
        </is>
      </c>
      <c r="B1233" s="1" t="n">
        <v>45772</v>
      </c>
      <c r="C1233" s="1" t="n">
        <v>45798</v>
      </c>
      <c r="D1233" t="inlineStr">
        <is>
          <t>VÄSTRA GÖTALANDS LÄN</t>
        </is>
      </c>
      <c r="E1233" t="inlineStr">
        <is>
          <t>BENGTSFORS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20090-2025</t>
        </is>
      </c>
      <c r="B1234" s="1" t="n">
        <v>45772</v>
      </c>
      <c r="C1234" s="1" t="n">
        <v>45798</v>
      </c>
      <c r="D1234" t="inlineStr">
        <is>
          <t>VÄSTRA GÖTALANDS LÄN</t>
        </is>
      </c>
      <c r="E1234" t="inlineStr">
        <is>
          <t>BENGTSFORS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20164-2025</t>
        </is>
      </c>
      <c r="B1235" s="1" t="n">
        <v>45772</v>
      </c>
      <c r="C1235" s="1" t="n">
        <v>45798</v>
      </c>
      <c r="D1235" t="inlineStr">
        <is>
          <t>VÄSTRA GÖTALANDS LÄN</t>
        </is>
      </c>
      <c r="E1235" t="inlineStr">
        <is>
          <t>BENGTSFORS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20110-2025</t>
        </is>
      </c>
      <c r="B1236" s="1" t="n">
        <v>45772</v>
      </c>
      <c r="C1236" s="1" t="n">
        <v>45798</v>
      </c>
      <c r="D1236" t="inlineStr">
        <is>
          <t>VÄSTRA GÖTALANDS LÄN</t>
        </is>
      </c>
      <c r="E1236" t="inlineStr">
        <is>
          <t>BENGTSFORS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45798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20526-2025</t>
        </is>
      </c>
      <c r="B1238" s="1" t="n">
        <v>45775</v>
      </c>
      <c r="C1238" s="1" t="n">
        <v>45798</v>
      </c>
      <c r="D1238" t="inlineStr">
        <is>
          <t>VÄSTRA GÖTALANDS LÄN</t>
        </is>
      </c>
      <c r="E1238" t="inlineStr">
        <is>
          <t>BENGTSFORS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45798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45798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21362-2025</t>
        </is>
      </c>
      <c r="B1241" s="1" t="n">
        <v>45782</v>
      </c>
      <c r="C1241" s="1" t="n">
        <v>45798</v>
      </c>
      <c r="D1241" t="inlineStr">
        <is>
          <t>VÄSTRA GÖTALANDS LÄN</t>
        </is>
      </c>
      <c r="E1241" t="inlineStr">
        <is>
          <t>BENGTSFORS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21367-2025</t>
        </is>
      </c>
      <c r="B1242" s="1" t="n">
        <v>45782</v>
      </c>
      <c r="C1242" s="1" t="n">
        <v>45798</v>
      </c>
      <c r="D1242" t="inlineStr">
        <is>
          <t>VÄSTRA GÖTALANDS LÄN</t>
        </is>
      </c>
      <c r="E1242" t="inlineStr">
        <is>
          <t>BENGTSFORS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21341-2025</t>
        </is>
      </c>
      <c r="B1243" s="1" t="n">
        <v>45782</v>
      </c>
      <c r="C1243" s="1" t="n">
        <v>45798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21640-2025</t>
        </is>
      </c>
      <c r="B1244" s="1" t="n">
        <v>45783</v>
      </c>
      <c r="C1244" s="1" t="n">
        <v>45798</v>
      </c>
      <c r="D1244" t="inlineStr">
        <is>
          <t>VÄSTRA GÖTALANDS LÄN</t>
        </is>
      </c>
      <c r="E1244" t="inlineStr">
        <is>
          <t>BENGTSFORS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21644-2025</t>
        </is>
      </c>
      <c r="B1245" s="1" t="n">
        <v>45783</v>
      </c>
      <c r="C1245" s="1" t="n">
        <v>45798</v>
      </c>
      <c r="D1245" t="inlineStr">
        <is>
          <t>VÄSTRA GÖTALANDS LÄN</t>
        </is>
      </c>
      <c r="E1245" t="inlineStr">
        <is>
          <t>BENGTSFORS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21641-2025</t>
        </is>
      </c>
      <c r="B1246" s="1" t="n">
        <v>45783</v>
      </c>
      <c r="C1246" s="1" t="n">
        <v>45798</v>
      </c>
      <c r="D1246" t="inlineStr">
        <is>
          <t>VÄSTRA GÖTALANDS LÄN</t>
        </is>
      </c>
      <c r="E1246" t="inlineStr">
        <is>
          <t>BENGTSFORS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45798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22200-2025</t>
        </is>
      </c>
      <c r="B1248" s="1" t="n">
        <v>45785</v>
      </c>
      <c r="C1248" s="1" t="n">
        <v>45798</v>
      </c>
      <c r="D1248" t="inlineStr">
        <is>
          <t>VÄSTRA GÖTALANDS LÄN</t>
        </is>
      </c>
      <c r="E1248" t="inlineStr">
        <is>
          <t>BENGTSFORS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45798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22196-2025</t>
        </is>
      </c>
      <c r="B1250" s="1" t="n">
        <v>45785</v>
      </c>
      <c r="C1250" s="1" t="n">
        <v>45798</v>
      </c>
      <c r="D1250" t="inlineStr">
        <is>
          <t>VÄSTRA GÖTALANDS LÄN</t>
        </is>
      </c>
      <c r="E1250" t="inlineStr">
        <is>
          <t>BENGTSFORS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45798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22548-2025</t>
        </is>
      </c>
      <c r="B1252" s="1" t="n">
        <v>45788</v>
      </c>
      <c r="C1252" s="1" t="n">
        <v>45798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23195-2025</t>
        </is>
      </c>
      <c r="B1253" s="1" t="n">
        <v>45791</v>
      </c>
      <c r="C1253" s="1" t="n">
        <v>45798</v>
      </c>
      <c r="D1253" t="inlineStr">
        <is>
          <t>VÄSTRA GÖTALANDS LÄN</t>
        </is>
      </c>
      <c r="E1253" t="inlineStr">
        <is>
          <t>BENGTSFORS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23584-2025</t>
        </is>
      </c>
      <c r="B1254" s="1" t="n">
        <v>45792</v>
      </c>
      <c r="C1254" s="1" t="n">
        <v>45798</v>
      </c>
      <c r="D1254" t="inlineStr">
        <is>
          <t>VÄSTRA GÖTALANDS LÄN</t>
        </is>
      </c>
      <c r="E1254" t="inlineStr">
        <is>
          <t>BENGTSFORS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23470-2025</t>
        </is>
      </c>
      <c r="B1255" s="1" t="n">
        <v>45792</v>
      </c>
      <c r="C1255" s="1" t="n">
        <v>45798</v>
      </c>
      <c r="D1255" t="inlineStr">
        <is>
          <t>VÄSTRA GÖTALANDS LÄN</t>
        </is>
      </c>
      <c r="E1255" t="inlineStr">
        <is>
          <t>BENGTSFORS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23546-2025</t>
        </is>
      </c>
      <c r="B1256" s="1" t="n">
        <v>45792</v>
      </c>
      <c r="C1256" s="1" t="n">
        <v>45798</v>
      </c>
      <c r="D1256" t="inlineStr">
        <is>
          <t>VÄSTRA GÖTALANDS LÄN</t>
        </is>
      </c>
      <c r="E1256" t="inlineStr">
        <is>
          <t>BENGTSFORS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45798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23703-2025</t>
        </is>
      </c>
      <c r="B1258" s="1" t="n">
        <v>45793</v>
      </c>
      <c r="C1258" s="1" t="n">
        <v>45798</v>
      </c>
      <c r="D1258" t="inlineStr">
        <is>
          <t>VÄSTRA GÖTALANDS LÄN</t>
        </is>
      </c>
      <c r="E1258" t="inlineStr">
        <is>
          <t>BENGTSFORS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2025-05-21T17:25:29Z</dcterms:created>
  <dcterms:modified xmlns:dcterms="http://purl.org/dc/terms/" xmlns:xsi="http://www.w3.org/2001/XMLSchema-instance" xsi:type="dcterms:W3CDTF">2025-05-21T17:25:30Z</dcterms:modified>
</cp:coreProperties>
</file>