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45625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45625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45625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45625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45625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45625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45625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45625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45625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45625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45625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45625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45625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41110-2024</t>
        </is>
      </c>
      <c r="B15" s="1" t="n">
        <v>45559</v>
      </c>
      <c r="C15" s="1" t="n">
        <v>45625</v>
      </c>
      <c r="D15" t="inlineStr">
        <is>
          <t>VÄSTRA GÖTALANDS LÄN</t>
        </is>
      </c>
      <c r="E15" t="inlineStr">
        <is>
          <t>BENGTSFORS</t>
        </is>
      </c>
      <c r="G15" t="n">
        <v>8.6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Grönpyrola
Rödgul trumpetsvamp
Blåsippa</t>
        </is>
      </c>
      <c r="S15">
        <f>HYPERLINK("https://klasma.github.io/Logging_1460/artfynd/A 41110-2024 artfynd.xlsx", "A 41110-2024")</f>
        <v/>
      </c>
      <c r="T15">
        <f>HYPERLINK("https://klasma.github.io/Logging_1460/kartor/A 41110-2024 karta.png", "A 41110-2024")</f>
        <v/>
      </c>
      <c r="V15">
        <f>HYPERLINK("https://klasma.github.io/Logging_1460/klagomål/A 41110-2024 FSC-klagomål.docx", "A 41110-2024")</f>
        <v/>
      </c>
      <c r="W15">
        <f>HYPERLINK("https://klasma.github.io/Logging_1460/klagomålsmail/A 41110-2024 FSC-klagomål mail.docx", "A 41110-2024")</f>
        <v/>
      </c>
      <c r="X15">
        <f>HYPERLINK("https://klasma.github.io/Logging_1460/tillsyn/A 41110-2024 tillsynsbegäran.docx", "A 41110-2024")</f>
        <v/>
      </c>
      <c r="Y15">
        <f>HYPERLINK("https://klasma.github.io/Logging_1460/tillsynsmail/A 41110-2024 tillsynsbegäran mail.docx", "A 41110-2024")</f>
        <v/>
      </c>
      <c r="Z15">
        <f>HYPERLINK("https://klasma.github.io/Logging_1460/fåglar/A 41110-2024 prioriterade fågelarter.docx", "A 41110-2024")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45625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1192-2023</t>
        </is>
      </c>
      <c r="B17" s="1" t="n">
        <v>44935</v>
      </c>
      <c r="C17" s="1" t="n">
        <v>45625</v>
      </c>
      <c r="D17" t="inlineStr">
        <is>
          <t>VÄSTRA GÖTALANDS LÄN</t>
        </is>
      </c>
      <c r="E17" t="inlineStr">
        <is>
          <t>BENGTSFORS</t>
        </is>
      </c>
      <c r="G17" t="n">
        <v>6.5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Tjäder</t>
        </is>
      </c>
      <c r="S17">
        <f>HYPERLINK("https://klasma.github.io/Logging_1460/artfynd/A 1192-2023 artfynd.xlsx", "A 1192-2023")</f>
        <v/>
      </c>
      <c r="T17">
        <f>HYPERLINK("https://klasma.github.io/Logging_1460/kartor/A 1192-2023 karta.png", "A 1192-2023")</f>
        <v/>
      </c>
      <c r="V17">
        <f>HYPERLINK("https://klasma.github.io/Logging_1460/klagomål/A 1192-2023 FSC-klagomål.docx", "A 1192-2023")</f>
        <v/>
      </c>
      <c r="W17">
        <f>HYPERLINK("https://klasma.github.io/Logging_1460/klagomålsmail/A 1192-2023 FSC-klagomål mail.docx", "A 1192-2023")</f>
        <v/>
      </c>
      <c r="X17">
        <f>HYPERLINK("https://klasma.github.io/Logging_1460/tillsyn/A 1192-2023 tillsynsbegäran.docx", "A 1192-2023")</f>
        <v/>
      </c>
      <c r="Y17">
        <f>HYPERLINK("https://klasma.github.io/Logging_1460/tillsynsmail/A 1192-2023 tillsynsbegäran mail.docx", "A 1192-2023")</f>
        <v/>
      </c>
      <c r="Z17">
        <f>HYPERLINK("https://klasma.github.io/Logging_1460/fåglar/A 1192-2023 prioriterade fågelarter.docx", "A 1192-2023")</f>
        <v/>
      </c>
    </row>
    <row r="18" ht="15" customHeight="1">
      <c r="A18" t="inlineStr">
        <is>
          <t>A 53197-2023</t>
        </is>
      </c>
      <c r="B18" s="1" t="n">
        <v>45229</v>
      </c>
      <c r="C18" s="1" t="n">
        <v>45625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14642-2024</t>
        </is>
      </c>
      <c r="B19" s="1" t="n">
        <v>45397</v>
      </c>
      <c r="C19" s="1" t="n">
        <v>45625</v>
      </c>
      <c r="D19" t="inlineStr">
        <is>
          <t>VÄSTRA GÖTALANDS LÄN</t>
        </is>
      </c>
      <c r="E19" t="inlineStr">
        <is>
          <t>BENGTSFORS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Bårdlav
Korallblylav
Blåsippa</t>
        </is>
      </c>
      <c r="S19">
        <f>HYPERLINK("https://klasma.github.io/Logging_1460/artfynd/A 14642-2024 artfynd.xlsx", "A 14642-2024")</f>
        <v/>
      </c>
      <c r="T19">
        <f>HYPERLINK("https://klasma.github.io/Logging_1460/kartor/A 14642-2024 karta.png", "A 14642-2024")</f>
        <v/>
      </c>
      <c r="V19">
        <f>HYPERLINK("https://klasma.github.io/Logging_1460/klagomål/A 14642-2024 FSC-klagomål.docx", "A 14642-2024")</f>
        <v/>
      </c>
      <c r="W19">
        <f>HYPERLINK("https://klasma.github.io/Logging_1460/klagomålsmail/A 14642-2024 FSC-klagomål mail.docx", "A 14642-2024")</f>
        <v/>
      </c>
      <c r="X19">
        <f>HYPERLINK("https://klasma.github.io/Logging_1460/tillsyn/A 14642-2024 tillsynsbegäran.docx", "A 14642-2024")</f>
        <v/>
      </c>
      <c r="Y19">
        <f>HYPERLINK("https://klasma.github.io/Logging_1460/tillsynsmail/A 14642-2024 tillsynsbegäran mail.docx", "A 14642-2024")</f>
        <v/>
      </c>
    </row>
    <row r="20" ht="15" customHeight="1">
      <c r="A20" t="inlineStr">
        <is>
          <t>A 29573-2019</t>
        </is>
      </c>
      <c r="B20" s="1" t="n">
        <v>43628</v>
      </c>
      <c r="C20" s="1" t="n">
        <v>45625</v>
      </c>
      <c r="D20" t="inlineStr">
        <is>
          <t>VÄSTRA GÖTALANDS LÄN</t>
        </is>
      </c>
      <c r="E20" t="inlineStr">
        <is>
          <t>BENGTSFORS</t>
        </is>
      </c>
      <c r="G20" t="n">
        <v>10.9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Sårläka</t>
        </is>
      </c>
      <c r="S20">
        <f>HYPERLINK("https://klasma.github.io/Logging_1460/artfynd/A 29573-2019 artfynd.xlsx", "A 29573-2019")</f>
        <v/>
      </c>
      <c r="T20">
        <f>HYPERLINK("https://klasma.github.io/Logging_1460/kartor/A 29573-2019 karta.png", "A 29573-2019")</f>
        <v/>
      </c>
      <c r="V20">
        <f>HYPERLINK("https://klasma.github.io/Logging_1460/klagomål/A 29573-2019 FSC-klagomål.docx", "A 29573-2019")</f>
        <v/>
      </c>
      <c r="W20">
        <f>HYPERLINK("https://klasma.github.io/Logging_1460/klagomålsmail/A 29573-2019 FSC-klagomål mail.docx", "A 29573-2019")</f>
        <v/>
      </c>
      <c r="X20">
        <f>HYPERLINK("https://klasma.github.io/Logging_1460/tillsyn/A 29573-2019 tillsynsbegäran.docx", "A 29573-2019")</f>
        <v/>
      </c>
      <c r="Y20">
        <f>HYPERLINK("https://klasma.github.io/Logging_1460/tillsynsmail/A 29573-2019 tillsynsbegäran mail.docx", "A 29573-2019")</f>
        <v/>
      </c>
    </row>
    <row r="21" ht="15" customHeight="1">
      <c r="A21" t="inlineStr">
        <is>
          <t>A 23847-2020</t>
        </is>
      </c>
      <c r="B21" s="1" t="n">
        <v>43970</v>
      </c>
      <c r="C21" s="1" t="n">
        <v>45625</v>
      </c>
      <c r="D21" t="inlineStr">
        <is>
          <t>VÄSTRA GÖTALANDS LÄN</t>
        </is>
      </c>
      <c r="E21" t="inlineStr">
        <is>
          <t>BENGTSFORS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Raggtaggsvamp
Tallticka</t>
        </is>
      </c>
      <c r="S21">
        <f>HYPERLINK("https://klasma.github.io/Logging_1460/artfynd/A 23847-2020 artfynd.xlsx", "A 23847-2020")</f>
        <v/>
      </c>
      <c r="T21">
        <f>HYPERLINK("https://klasma.github.io/Logging_1460/kartor/A 23847-2020 karta.png", "A 23847-2020")</f>
        <v/>
      </c>
      <c r="V21">
        <f>HYPERLINK("https://klasma.github.io/Logging_1460/klagomål/A 23847-2020 FSC-klagomål.docx", "A 23847-2020")</f>
        <v/>
      </c>
      <c r="W21">
        <f>HYPERLINK("https://klasma.github.io/Logging_1460/klagomålsmail/A 23847-2020 FSC-klagomål mail.docx", "A 23847-2020")</f>
        <v/>
      </c>
      <c r="X21">
        <f>HYPERLINK("https://klasma.github.io/Logging_1460/tillsyn/A 23847-2020 tillsynsbegäran.docx", "A 23847-2020")</f>
        <v/>
      </c>
      <c r="Y21">
        <f>HYPERLINK("https://klasma.github.io/Logging_1460/tillsynsmail/A 23847-2020 tillsynsbegäran mail.docx", "A 23847-2020")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45625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45625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51388-2022</t>
        </is>
      </c>
      <c r="B24" s="1" t="n">
        <v>44866</v>
      </c>
      <c r="C24" s="1" t="n">
        <v>45625</v>
      </c>
      <c r="D24" t="inlineStr">
        <is>
          <t>VÄSTRA GÖTALANDS LÄN</t>
        </is>
      </c>
      <c r="E24" t="inlineStr">
        <is>
          <t>BENGTSFORS</t>
        </is>
      </c>
      <c r="F24" t="inlineStr">
        <is>
          <t>Kyrkan</t>
        </is>
      </c>
      <c r="G24" t="n">
        <v>3.3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Tvåblad</t>
        </is>
      </c>
      <c r="S24">
        <f>HYPERLINK("https://klasma.github.io/Logging_1460/artfynd/A 51388-2022 artfynd.xlsx", "A 51388-2022")</f>
        <v/>
      </c>
      <c r="T24">
        <f>HYPERLINK("https://klasma.github.io/Logging_1460/kartor/A 51388-2022 karta.png", "A 51388-2022")</f>
        <v/>
      </c>
      <c r="V24">
        <f>HYPERLINK("https://klasma.github.io/Logging_1460/klagomål/A 51388-2022 FSC-klagomål.docx", "A 51388-2022")</f>
        <v/>
      </c>
      <c r="W24">
        <f>HYPERLINK("https://klasma.github.io/Logging_1460/klagomålsmail/A 51388-2022 FSC-klagomål mail.docx", "A 51388-2022")</f>
        <v/>
      </c>
      <c r="X24">
        <f>HYPERLINK("https://klasma.github.io/Logging_1460/tillsyn/A 51388-2022 tillsynsbegäran.docx", "A 51388-2022")</f>
        <v/>
      </c>
      <c r="Y24">
        <f>HYPERLINK("https://klasma.github.io/Logging_1460/tillsynsmail/A 51388-2022 tillsynsbegäran mail.docx", "A 51388-2022")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45625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3793-2023</t>
        </is>
      </c>
      <c r="B26" s="1" t="n">
        <v>44951</v>
      </c>
      <c r="C26" s="1" t="n">
        <v>45625</v>
      </c>
      <c r="D26" t="inlineStr">
        <is>
          <t>VÄSTRA GÖTALANDS LÄN</t>
        </is>
      </c>
      <c r="E26" t="inlineStr">
        <is>
          <t>BENGTSFORS</t>
        </is>
      </c>
      <c r="G26" t="n">
        <v>16.4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Nattviol</t>
        </is>
      </c>
      <c r="S26">
        <f>HYPERLINK("https://klasma.github.io/Logging_1460/artfynd/A 3793-2023 artfynd.xlsx", "A 3793-2023")</f>
        <v/>
      </c>
      <c r="T26">
        <f>HYPERLINK("https://klasma.github.io/Logging_1460/kartor/A 3793-2023 karta.png", "A 3793-2023")</f>
        <v/>
      </c>
      <c r="V26">
        <f>HYPERLINK("https://klasma.github.io/Logging_1460/klagomål/A 3793-2023 FSC-klagomål.docx", "A 3793-2023")</f>
        <v/>
      </c>
      <c r="W26">
        <f>HYPERLINK("https://klasma.github.io/Logging_1460/klagomålsmail/A 3793-2023 FSC-klagomål mail.docx", "A 3793-2023")</f>
        <v/>
      </c>
      <c r="X26">
        <f>HYPERLINK("https://klasma.github.io/Logging_1460/tillsyn/A 3793-2023 tillsynsbegäran.docx", "A 3793-2023")</f>
        <v/>
      </c>
      <c r="Y26">
        <f>HYPERLINK("https://klasma.github.io/Logging_1460/tillsynsmail/A 3793-2023 tillsynsbegäran mail.docx", "A 3793-2023")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45625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44753-2023</t>
        </is>
      </c>
      <c r="B28" s="1" t="n">
        <v>45184</v>
      </c>
      <c r="C28" s="1" t="n">
        <v>45625</v>
      </c>
      <c r="D28" t="inlineStr">
        <is>
          <t>VÄSTRA GÖTALANDS LÄN</t>
        </is>
      </c>
      <c r="E28" t="inlineStr">
        <is>
          <t>BENGTSFORS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HYPERLINK("https://klasma.github.io/Logging_1460/artfynd/A 44753-2023 artfynd.xlsx", "A 44753-2023")</f>
        <v/>
      </c>
      <c r="T28">
        <f>HYPERLINK("https://klasma.github.io/Logging_1460/kartor/A 44753-2023 karta.png", "A 44753-2023")</f>
        <v/>
      </c>
      <c r="U28">
        <f>HYPERLINK("https://klasma.github.io/Logging_1460/knärot/A 44753-2023 karta knärot.png", "A 44753-2023")</f>
        <v/>
      </c>
      <c r="V28">
        <f>HYPERLINK("https://klasma.github.io/Logging_1460/klagomål/A 44753-2023 FSC-klagomål.docx", "A 44753-2023")</f>
        <v/>
      </c>
      <c r="W28">
        <f>HYPERLINK("https://klasma.github.io/Logging_1460/klagomålsmail/A 44753-2023 FSC-klagomål mail.docx", "A 44753-2023")</f>
        <v/>
      </c>
      <c r="X28">
        <f>HYPERLINK("https://klasma.github.io/Logging_1460/tillsyn/A 44753-2023 tillsynsbegäran.docx", "A 44753-2023")</f>
        <v/>
      </c>
      <c r="Y28">
        <f>HYPERLINK("https://klasma.github.io/Logging_1460/tillsynsmail/A 44753-2023 tillsynsbegäran mail.docx", "A 44753-2023")</f>
        <v/>
      </c>
    </row>
    <row r="29" ht="15" customHeight="1">
      <c r="A29" t="inlineStr">
        <is>
          <t>A 49689-2023</t>
        </is>
      </c>
      <c r="B29" s="1" t="n">
        <v>45212</v>
      </c>
      <c r="C29" s="1" t="n">
        <v>45625</v>
      </c>
      <c r="D29" t="inlineStr">
        <is>
          <t>VÄSTRA GÖTALANDS LÄN</t>
        </is>
      </c>
      <c r="E29" t="inlineStr">
        <is>
          <t>BENGTSFORS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Revlummer</t>
        </is>
      </c>
      <c r="S29">
        <f>HYPERLINK("https://klasma.github.io/Logging_1460/artfynd/A 49689-2023 artfynd.xlsx", "A 49689-2023")</f>
        <v/>
      </c>
      <c r="T29">
        <f>HYPERLINK("https://klasma.github.io/Logging_1460/kartor/A 49689-2023 karta.png", "A 49689-2023")</f>
        <v/>
      </c>
      <c r="V29">
        <f>HYPERLINK("https://klasma.github.io/Logging_1460/klagomål/A 49689-2023 FSC-klagomål.docx", "A 49689-2023")</f>
        <v/>
      </c>
      <c r="W29">
        <f>HYPERLINK("https://klasma.github.io/Logging_1460/klagomålsmail/A 49689-2023 FSC-klagomål mail.docx", "A 49689-2023")</f>
        <v/>
      </c>
      <c r="X29">
        <f>HYPERLINK("https://klasma.github.io/Logging_1460/tillsyn/A 49689-2023 tillsynsbegäran.docx", "A 49689-2023")</f>
        <v/>
      </c>
      <c r="Y29">
        <f>HYPERLINK("https://klasma.github.io/Logging_1460/tillsynsmail/A 49689-2023 tillsynsbegäran mail.docx", "A 49689-2023")</f>
        <v/>
      </c>
    </row>
    <row r="30" ht="15" customHeight="1">
      <c r="A30" t="inlineStr">
        <is>
          <t>A 41123-2024</t>
        </is>
      </c>
      <c r="B30" s="1" t="n">
        <v>45559</v>
      </c>
      <c r="C30" s="1" t="n">
        <v>45625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HYPERLINK("https://klasma.github.io/Logging_1460/artfynd/A 41123-2024 artfynd.xlsx", "A 41123-2024")</f>
        <v/>
      </c>
      <c r="T30">
        <f>HYPERLINK("https://klasma.github.io/Logging_1460/kartor/A 41123-2024 karta.png", "A 41123-2024")</f>
        <v/>
      </c>
      <c r="V30">
        <f>HYPERLINK("https://klasma.github.io/Logging_1460/klagomål/A 41123-2024 FSC-klagomål.docx", "A 41123-2024")</f>
        <v/>
      </c>
      <c r="W30">
        <f>HYPERLINK("https://klasma.github.io/Logging_1460/klagomålsmail/A 41123-2024 FSC-klagomål mail.docx", "A 41123-2024")</f>
        <v/>
      </c>
      <c r="X30">
        <f>HYPERLINK("https://klasma.github.io/Logging_1460/tillsyn/A 41123-2024 tillsynsbegäran.docx", "A 41123-2024")</f>
        <v/>
      </c>
      <c r="Y30">
        <f>HYPERLINK("https://klasma.github.io/Logging_1460/tillsynsmail/A 41123-2024 tillsynsbegäran mail.docx", "A 41123-2024")</f>
        <v/>
      </c>
    </row>
    <row r="31" ht="15" customHeight="1">
      <c r="A31" t="inlineStr">
        <is>
          <t>A 49918-2024</t>
        </is>
      </c>
      <c r="B31" s="1" t="n">
        <v>45597</v>
      </c>
      <c r="C31" s="1" t="n">
        <v>45625</v>
      </c>
      <c r="D31" t="inlineStr">
        <is>
          <t>VÄSTRA GÖTALANDS LÄN</t>
        </is>
      </c>
      <c r="E31" t="inlineStr">
        <is>
          <t>BENGTSFORS</t>
        </is>
      </c>
      <c r="G31" t="n">
        <v>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Ögonpyrola</t>
        </is>
      </c>
      <c r="S31">
        <f>HYPERLINK("https://klasma.github.io/Logging_1460/artfynd/A 49918-2024 artfynd.xlsx", "A 49918-2024")</f>
        <v/>
      </c>
      <c r="T31">
        <f>HYPERLINK("https://klasma.github.io/Logging_1460/kartor/A 49918-2024 karta.png", "A 49918-2024")</f>
        <v/>
      </c>
      <c r="V31">
        <f>HYPERLINK("https://klasma.github.io/Logging_1460/klagomål/A 49918-2024 FSC-klagomål.docx", "A 49918-2024")</f>
        <v/>
      </c>
      <c r="W31">
        <f>HYPERLINK("https://klasma.github.io/Logging_1460/klagomålsmail/A 49918-2024 FSC-klagomål mail.docx", "A 49918-2024")</f>
        <v/>
      </c>
      <c r="X31">
        <f>HYPERLINK("https://klasma.github.io/Logging_1460/tillsyn/A 49918-2024 tillsynsbegäran.docx", "A 49918-2024")</f>
        <v/>
      </c>
      <c r="Y31">
        <f>HYPERLINK("https://klasma.github.io/Logging_1460/tillsynsmail/A 49918-2024 tillsynsbegäran mail.docx", "A 49918-2024")</f>
        <v/>
      </c>
    </row>
    <row r="32" ht="15" customHeight="1">
      <c r="A32" t="inlineStr">
        <is>
          <t>A 19429-2019</t>
        </is>
      </c>
      <c r="B32" s="1" t="n">
        <v>43565</v>
      </c>
      <c r="C32" s="1" t="n">
        <v>45625</v>
      </c>
      <c r="D32" t="inlineStr">
        <is>
          <t>VÄSTRA GÖTALANDS LÄN</t>
        </is>
      </c>
      <c r="E32" t="inlineStr">
        <is>
          <t>BENGTSFORS</t>
        </is>
      </c>
      <c r="G32" t="n">
        <v>10.2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HYPERLINK("https://klasma.github.io/Logging_1460/artfynd/A 19429-2019 artfynd.xlsx", "A 19429-2019")</f>
        <v/>
      </c>
      <c r="T32">
        <f>HYPERLINK("https://klasma.github.io/Logging_1460/kartor/A 19429-2019 karta.png", "A 19429-2019")</f>
        <v/>
      </c>
      <c r="V32">
        <f>HYPERLINK("https://klasma.github.io/Logging_1460/klagomål/A 19429-2019 FSC-klagomål.docx", "A 19429-2019")</f>
        <v/>
      </c>
      <c r="W32">
        <f>HYPERLINK("https://klasma.github.io/Logging_1460/klagomålsmail/A 19429-2019 FSC-klagomål mail.docx", "A 19429-2019")</f>
        <v/>
      </c>
      <c r="X32">
        <f>HYPERLINK("https://klasma.github.io/Logging_1460/tillsyn/A 19429-2019 tillsynsbegäran.docx", "A 19429-2019")</f>
        <v/>
      </c>
      <c r="Y32">
        <f>HYPERLINK("https://klasma.github.io/Logging_1460/tillsynsmail/A 19429-2019 tillsynsbegäran mail.docx", "A 19429-2019")</f>
        <v/>
      </c>
      <c r="Z32">
        <f>HYPERLINK("https://klasma.github.io/Logging_1460/fåglar/A 19429-2019 prioriterade fågelarter.docx", "A 19429-2019")</f>
        <v/>
      </c>
    </row>
    <row r="33" ht="15" customHeight="1">
      <c r="A33" t="inlineStr">
        <is>
          <t>A 20712-2019</t>
        </is>
      </c>
      <c r="B33" s="1" t="n">
        <v>43573</v>
      </c>
      <c r="C33" s="1" t="n">
        <v>45625</v>
      </c>
      <c r="D33" t="inlineStr">
        <is>
          <t>VÄSTRA GÖTALANDS LÄN</t>
        </is>
      </c>
      <c r="E33" t="inlineStr">
        <is>
          <t>BENGTSFORS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HYPERLINK("https://klasma.github.io/Logging_1460/artfynd/A 20712-2019 artfynd.xlsx", "A 20712-2019")</f>
        <v/>
      </c>
      <c r="T33">
        <f>HYPERLINK("https://klasma.github.io/Logging_1460/kartor/A 20712-2019 karta.png", "A 20712-2019")</f>
        <v/>
      </c>
      <c r="V33">
        <f>HYPERLINK("https://klasma.github.io/Logging_1460/klagomål/A 20712-2019 FSC-klagomål.docx", "A 20712-2019")</f>
        <v/>
      </c>
      <c r="W33">
        <f>HYPERLINK("https://klasma.github.io/Logging_1460/klagomålsmail/A 20712-2019 FSC-klagomål mail.docx", "A 20712-2019")</f>
        <v/>
      </c>
      <c r="X33">
        <f>HYPERLINK("https://klasma.github.io/Logging_1460/tillsyn/A 20712-2019 tillsynsbegäran.docx", "A 20712-2019")</f>
        <v/>
      </c>
      <c r="Y33">
        <f>HYPERLINK("https://klasma.github.io/Logging_1460/tillsynsmail/A 20712-2019 tillsynsbegäran mail.docx", "A 20712-2019")</f>
        <v/>
      </c>
    </row>
    <row r="34" ht="15" customHeight="1">
      <c r="A34" t="inlineStr">
        <is>
          <t>A 56938-2019</t>
        </is>
      </c>
      <c r="B34" s="1" t="n">
        <v>43766</v>
      </c>
      <c r="C34" s="1" t="n">
        <v>45625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HYPERLINK("https://klasma.github.io/Logging_1460/artfynd/A 56938-2019 artfynd.xlsx", "A 56938-2019")</f>
        <v/>
      </c>
      <c r="T34">
        <f>HYPERLINK("https://klasma.github.io/Logging_1460/kartor/A 56938-2019 karta.png", "A 56938-2019")</f>
        <v/>
      </c>
      <c r="V34">
        <f>HYPERLINK("https://klasma.github.io/Logging_1460/klagomål/A 56938-2019 FSC-klagomål.docx", "A 56938-2019")</f>
        <v/>
      </c>
      <c r="W34">
        <f>HYPERLINK("https://klasma.github.io/Logging_1460/klagomålsmail/A 56938-2019 FSC-klagomål mail.docx", "A 56938-2019")</f>
        <v/>
      </c>
      <c r="X34">
        <f>HYPERLINK("https://klasma.github.io/Logging_1460/tillsyn/A 56938-2019 tillsynsbegäran.docx", "A 56938-2019")</f>
        <v/>
      </c>
      <c r="Y34">
        <f>HYPERLINK("https://klasma.github.io/Logging_1460/tillsynsmail/A 56938-2019 tillsynsbegäran mail.docx", "A 56938-2019")</f>
        <v/>
      </c>
    </row>
    <row r="35" ht="15" customHeight="1">
      <c r="A35" t="inlineStr">
        <is>
          <t>A 19722-2020</t>
        </is>
      </c>
      <c r="B35" s="1" t="n">
        <v>43941</v>
      </c>
      <c r="C35" s="1" t="n">
        <v>45625</v>
      </c>
      <c r="D35" t="inlineStr">
        <is>
          <t>VÄSTRA GÖTALANDS LÄN</t>
        </is>
      </c>
      <c r="E35" t="inlineStr">
        <is>
          <t>BENGTSFORS</t>
        </is>
      </c>
      <c r="G35" t="n">
        <v>7.9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19722-2020 artfynd.xlsx", "A 19722-2020")</f>
        <v/>
      </c>
      <c r="T35">
        <f>HYPERLINK("https://klasma.github.io/Logging_1460/kartor/A 19722-2020 karta.png", "A 19722-2020")</f>
        <v/>
      </c>
      <c r="V35">
        <f>HYPERLINK("https://klasma.github.io/Logging_1460/klagomål/A 19722-2020 FSC-klagomål.docx", "A 19722-2020")</f>
        <v/>
      </c>
      <c r="W35">
        <f>HYPERLINK("https://klasma.github.io/Logging_1460/klagomålsmail/A 19722-2020 FSC-klagomål mail.docx", "A 19722-2020")</f>
        <v/>
      </c>
      <c r="X35">
        <f>HYPERLINK("https://klasma.github.io/Logging_1460/tillsyn/A 19722-2020 tillsynsbegäran.docx", "A 19722-2020")</f>
        <v/>
      </c>
      <c r="Y35">
        <f>HYPERLINK("https://klasma.github.io/Logging_1460/tillsynsmail/A 19722-2020 tillsynsbegäran mail.docx", "A 19722-2020")</f>
        <v/>
      </c>
      <c r="Z35">
        <f>HYPERLINK("https://klasma.github.io/Logging_1460/fåglar/A 19722-2020 prioriterade fågelarter.docx", "A 19722-2020")</f>
        <v/>
      </c>
    </row>
    <row r="36" ht="15" customHeight="1">
      <c r="A36" t="inlineStr">
        <is>
          <t>A 41328-2020</t>
        </is>
      </c>
      <c r="B36" s="1" t="n">
        <v>44071</v>
      </c>
      <c r="C36" s="1" t="n">
        <v>45625</v>
      </c>
      <c r="D36" t="inlineStr">
        <is>
          <t>VÄSTRA GÖTALANDS LÄN</t>
        </is>
      </c>
      <c r="E36" t="inlineStr">
        <is>
          <t>BENGTSFORS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41328-2020 artfynd.xlsx", "A 41328-2020")</f>
        <v/>
      </c>
      <c r="T36">
        <f>HYPERLINK("https://klasma.github.io/Logging_1460/kartor/A 41328-2020 karta.png", "A 41328-2020")</f>
        <v/>
      </c>
      <c r="V36">
        <f>HYPERLINK("https://klasma.github.io/Logging_1460/klagomål/A 41328-2020 FSC-klagomål.docx", "A 41328-2020")</f>
        <v/>
      </c>
      <c r="W36">
        <f>HYPERLINK("https://klasma.github.io/Logging_1460/klagomålsmail/A 41328-2020 FSC-klagomål mail.docx", "A 41328-2020")</f>
        <v/>
      </c>
      <c r="X36">
        <f>HYPERLINK("https://klasma.github.io/Logging_1460/tillsyn/A 41328-2020 tillsynsbegäran.docx", "A 41328-2020")</f>
        <v/>
      </c>
      <c r="Y36">
        <f>HYPERLINK("https://klasma.github.io/Logging_1460/tillsynsmail/A 41328-2020 tillsynsbegäran mail.docx", "A 41328-2020")</f>
        <v/>
      </c>
      <c r="Z36">
        <f>HYPERLINK("https://klasma.github.io/Logging_1460/fåglar/A 41328-2020 prioriterade fågelarter.docx", "A 41328-2020")</f>
        <v/>
      </c>
    </row>
    <row r="37" ht="15" customHeight="1">
      <c r="A37" t="inlineStr">
        <is>
          <t>A 9043-2021</t>
        </is>
      </c>
      <c r="B37" s="1" t="n">
        <v>44249</v>
      </c>
      <c r="C37" s="1" t="n">
        <v>45625</v>
      </c>
      <c r="D37" t="inlineStr">
        <is>
          <t>VÄSTRA GÖTALANDS LÄN</t>
        </is>
      </c>
      <c r="E37" t="inlineStr">
        <is>
          <t>BENGTSFORS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HYPERLINK("https://klasma.github.io/Logging_1460/artfynd/A 9043-2021 artfynd.xlsx", "A 9043-2021")</f>
        <v/>
      </c>
      <c r="T37">
        <f>HYPERLINK("https://klasma.github.io/Logging_1460/kartor/A 9043-2021 karta.png", "A 9043-2021")</f>
        <v/>
      </c>
      <c r="V37">
        <f>HYPERLINK("https://klasma.github.io/Logging_1460/klagomål/A 9043-2021 FSC-klagomål.docx", "A 9043-2021")</f>
        <v/>
      </c>
      <c r="W37">
        <f>HYPERLINK("https://klasma.github.io/Logging_1460/klagomålsmail/A 9043-2021 FSC-klagomål mail.docx", "A 9043-2021")</f>
        <v/>
      </c>
      <c r="X37">
        <f>HYPERLINK("https://klasma.github.io/Logging_1460/tillsyn/A 9043-2021 tillsynsbegäran.docx", "A 9043-2021")</f>
        <v/>
      </c>
      <c r="Y37">
        <f>HYPERLINK("https://klasma.github.io/Logging_1460/tillsynsmail/A 9043-2021 tillsynsbegäran mail.docx", "A 9043-2021")</f>
        <v/>
      </c>
    </row>
    <row r="38" ht="15" customHeight="1">
      <c r="A38" t="inlineStr">
        <is>
          <t>A 23226-2021</t>
        </is>
      </c>
      <c r="B38" s="1" t="n">
        <v>44333</v>
      </c>
      <c r="C38" s="1" t="n">
        <v>45625</v>
      </c>
      <c r="D38" t="inlineStr">
        <is>
          <t>VÄSTRA GÖTALANDS LÄN</t>
        </is>
      </c>
      <c r="E38" t="inlineStr">
        <is>
          <t>BENGTSFORS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23226-2021 artfynd.xlsx", "A 23226-2021")</f>
        <v/>
      </c>
      <c r="T38">
        <f>HYPERLINK("https://klasma.github.io/Logging_1460/kartor/A 23226-2021 karta.png", "A 23226-2021")</f>
        <v/>
      </c>
      <c r="V38">
        <f>HYPERLINK("https://klasma.github.io/Logging_1460/klagomål/A 23226-2021 FSC-klagomål.docx", "A 23226-2021")</f>
        <v/>
      </c>
      <c r="W38">
        <f>HYPERLINK("https://klasma.github.io/Logging_1460/klagomålsmail/A 23226-2021 FSC-klagomål mail.docx", "A 23226-2021")</f>
        <v/>
      </c>
      <c r="X38">
        <f>HYPERLINK("https://klasma.github.io/Logging_1460/tillsyn/A 23226-2021 tillsynsbegäran.docx", "A 23226-2021")</f>
        <v/>
      </c>
      <c r="Y38">
        <f>HYPERLINK("https://klasma.github.io/Logging_1460/tillsynsmail/A 23226-2021 tillsynsbegäran mail.docx", "A 23226-2021")</f>
        <v/>
      </c>
    </row>
    <row r="39" ht="15" customHeight="1">
      <c r="A39" t="inlineStr">
        <is>
          <t>A 28779-2021</t>
        </is>
      </c>
      <c r="B39" s="1" t="n">
        <v>44357</v>
      </c>
      <c r="C39" s="1" t="n">
        <v>45625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Enkelbeckasin</t>
        </is>
      </c>
      <c r="S39">
        <f>HYPERLINK("https://klasma.github.io/Logging_1460/artfynd/A 28779-2021 artfynd.xlsx", "A 28779-2021")</f>
        <v/>
      </c>
      <c r="T39">
        <f>HYPERLINK("https://klasma.github.io/Logging_1460/kartor/A 28779-2021 karta.png", "A 28779-2021")</f>
        <v/>
      </c>
      <c r="V39">
        <f>HYPERLINK("https://klasma.github.io/Logging_1460/klagomål/A 28779-2021 FSC-klagomål.docx", "A 28779-2021")</f>
        <v/>
      </c>
      <c r="W39">
        <f>HYPERLINK("https://klasma.github.io/Logging_1460/klagomålsmail/A 28779-2021 FSC-klagomål mail.docx", "A 28779-2021")</f>
        <v/>
      </c>
      <c r="X39">
        <f>HYPERLINK("https://klasma.github.io/Logging_1460/tillsyn/A 28779-2021 tillsynsbegäran.docx", "A 28779-2021")</f>
        <v/>
      </c>
      <c r="Y39">
        <f>HYPERLINK("https://klasma.github.io/Logging_1460/tillsynsmail/A 28779-2021 tillsynsbegäran mail.docx", "A 28779-2021")</f>
        <v/>
      </c>
      <c r="Z39">
        <f>HYPERLINK("https://klasma.github.io/Logging_1460/fåglar/A 28779-2021 prioriterade fågelarter.docx", "A 28779-2021")</f>
        <v/>
      </c>
    </row>
    <row r="40" ht="15" customHeight="1">
      <c r="A40" t="inlineStr">
        <is>
          <t>A 39804-2021</t>
        </is>
      </c>
      <c r="B40" s="1" t="n">
        <v>44417</v>
      </c>
      <c r="C40" s="1" t="n">
        <v>45625</v>
      </c>
      <c r="D40" t="inlineStr">
        <is>
          <t>VÄSTRA GÖTALANDS LÄN</t>
        </is>
      </c>
      <c r="E40" t="inlineStr">
        <is>
          <t>BENGTSFORS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HYPERLINK("https://klasma.github.io/Logging_1460/artfynd/A 39804-2021 artfynd.xlsx", "A 39804-2021")</f>
        <v/>
      </c>
      <c r="T40">
        <f>HYPERLINK("https://klasma.github.io/Logging_1460/kartor/A 39804-2021 karta.png", "A 39804-2021")</f>
        <v/>
      </c>
      <c r="V40">
        <f>HYPERLINK("https://klasma.github.io/Logging_1460/klagomål/A 39804-2021 FSC-klagomål.docx", "A 39804-2021")</f>
        <v/>
      </c>
      <c r="W40">
        <f>HYPERLINK("https://klasma.github.io/Logging_1460/klagomålsmail/A 39804-2021 FSC-klagomål mail.docx", "A 39804-2021")</f>
        <v/>
      </c>
      <c r="X40">
        <f>HYPERLINK("https://klasma.github.io/Logging_1460/tillsyn/A 39804-2021 tillsynsbegäran.docx", "A 39804-2021")</f>
        <v/>
      </c>
      <c r="Y40">
        <f>HYPERLINK("https://klasma.github.io/Logging_1460/tillsynsmail/A 39804-2021 tillsynsbegäran mail.docx", "A 39804-2021")</f>
        <v/>
      </c>
    </row>
    <row r="41" ht="15" customHeight="1">
      <c r="A41" t="inlineStr">
        <is>
          <t>A 47082-2021</t>
        </is>
      </c>
      <c r="B41" s="1" t="n">
        <v>44446</v>
      </c>
      <c r="C41" s="1" t="n">
        <v>45625</v>
      </c>
      <c r="D41" t="inlineStr">
        <is>
          <t>VÄSTRA GÖTALANDS LÄN</t>
        </is>
      </c>
      <c r="E41" t="inlineStr">
        <is>
          <t>BENGTSFORS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47082-2021 artfynd.xlsx", "A 47082-2021")</f>
        <v/>
      </c>
      <c r="T41">
        <f>HYPERLINK("https://klasma.github.io/Logging_1460/kartor/A 47082-2021 karta.png", "A 47082-2021")</f>
        <v/>
      </c>
      <c r="V41">
        <f>HYPERLINK("https://klasma.github.io/Logging_1460/klagomål/A 47082-2021 FSC-klagomål.docx", "A 47082-2021")</f>
        <v/>
      </c>
      <c r="W41">
        <f>HYPERLINK("https://klasma.github.io/Logging_1460/klagomålsmail/A 47082-2021 FSC-klagomål mail.docx", "A 47082-2021")</f>
        <v/>
      </c>
      <c r="X41">
        <f>HYPERLINK("https://klasma.github.io/Logging_1460/tillsyn/A 47082-2021 tillsynsbegäran.docx", "A 47082-2021")</f>
        <v/>
      </c>
      <c r="Y41">
        <f>HYPERLINK("https://klasma.github.io/Logging_1460/tillsynsmail/A 47082-2021 tillsynsbegäran mail.docx", "A 47082-2021")</f>
        <v/>
      </c>
    </row>
    <row r="42" ht="15" customHeight="1">
      <c r="A42" t="inlineStr">
        <is>
          <t>A 47084-2021</t>
        </is>
      </c>
      <c r="B42" s="1" t="n">
        <v>44446</v>
      </c>
      <c r="C42" s="1" t="n">
        <v>45625</v>
      </c>
      <c r="D42" t="inlineStr">
        <is>
          <t>VÄSTRA GÖTALANDS LÄN</t>
        </is>
      </c>
      <c r="E42" t="inlineStr">
        <is>
          <t>BENGTSFORS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HYPERLINK("https://klasma.github.io/Logging_1460/artfynd/A 47084-2021 artfynd.xlsx", "A 47084-2021")</f>
        <v/>
      </c>
      <c r="T42">
        <f>HYPERLINK("https://klasma.github.io/Logging_1460/kartor/A 47084-2021 karta.png", "A 47084-2021")</f>
        <v/>
      </c>
      <c r="V42">
        <f>HYPERLINK("https://klasma.github.io/Logging_1460/klagomål/A 47084-2021 FSC-klagomål.docx", "A 47084-2021")</f>
        <v/>
      </c>
      <c r="W42">
        <f>HYPERLINK("https://klasma.github.io/Logging_1460/klagomålsmail/A 47084-2021 FSC-klagomål mail.docx", "A 47084-2021")</f>
        <v/>
      </c>
      <c r="X42">
        <f>HYPERLINK("https://klasma.github.io/Logging_1460/tillsyn/A 47084-2021 tillsynsbegäran.docx", "A 47084-2021")</f>
        <v/>
      </c>
      <c r="Y42">
        <f>HYPERLINK("https://klasma.github.io/Logging_1460/tillsynsmail/A 47084-2021 tillsynsbegäran mail.docx", "A 47084-2021")</f>
        <v/>
      </c>
    </row>
    <row r="43" ht="15" customHeight="1">
      <c r="A43" t="inlineStr">
        <is>
          <t>A 63729-2021</t>
        </is>
      </c>
      <c r="B43" s="1" t="n">
        <v>44508</v>
      </c>
      <c r="C43" s="1" t="n">
        <v>45625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63729-2021 artfynd.xlsx", "A 63729-2021")</f>
        <v/>
      </c>
      <c r="T43">
        <f>HYPERLINK("https://klasma.github.io/Logging_1460/kartor/A 63729-2021 karta.png", "A 63729-2021")</f>
        <v/>
      </c>
      <c r="V43">
        <f>HYPERLINK("https://klasma.github.io/Logging_1460/klagomål/A 63729-2021 FSC-klagomål.docx", "A 63729-2021")</f>
        <v/>
      </c>
      <c r="W43">
        <f>HYPERLINK("https://klasma.github.io/Logging_1460/klagomålsmail/A 63729-2021 FSC-klagomål mail.docx", "A 63729-2021")</f>
        <v/>
      </c>
      <c r="X43">
        <f>HYPERLINK("https://klasma.github.io/Logging_1460/tillsyn/A 63729-2021 tillsynsbegäran.docx", "A 63729-2021")</f>
        <v/>
      </c>
      <c r="Y43">
        <f>HYPERLINK("https://klasma.github.io/Logging_1460/tillsynsmail/A 63729-2021 tillsynsbegäran mail.docx", "A 63729-2021")</f>
        <v/>
      </c>
    </row>
    <row r="44" ht="15" customHeight="1">
      <c r="A44" t="inlineStr">
        <is>
          <t>A 26867-2022</t>
        </is>
      </c>
      <c r="B44" s="1" t="n">
        <v>44740</v>
      </c>
      <c r="C44" s="1" t="n">
        <v>45625</v>
      </c>
      <c r="D44" t="inlineStr">
        <is>
          <t>VÄSTRA GÖTALANDS LÄN</t>
        </is>
      </c>
      <c r="E44" t="inlineStr">
        <is>
          <t>BENGTSFORS</t>
        </is>
      </c>
      <c r="G44" t="n">
        <v>8.5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HYPERLINK("https://klasma.github.io/Logging_1460/artfynd/A 26867-2022 artfynd.xlsx", "A 26867-2022")</f>
        <v/>
      </c>
      <c r="T44">
        <f>HYPERLINK("https://klasma.github.io/Logging_1460/kartor/A 26867-2022 karta.png", "A 26867-2022")</f>
        <v/>
      </c>
      <c r="V44">
        <f>HYPERLINK("https://klasma.github.io/Logging_1460/klagomål/A 26867-2022 FSC-klagomål.docx", "A 26867-2022")</f>
        <v/>
      </c>
      <c r="W44">
        <f>HYPERLINK("https://klasma.github.io/Logging_1460/klagomålsmail/A 26867-2022 FSC-klagomål mail.docx", "A 26867-2022")</f>
        <v/>
      </c>
      <c r="X44">
        <f>HYPERLINK("https://klasma.github.io/Logging_1460/tillsyn/A 26867-2022 tillsynsbegäran.docx", "A 26867-2022")</f>
        <v/>
      </c>
      <c r="Y44">
        <f>HYPERLINK("https://klasma.github.io/Logging_1460/tillsynsmail/A 26867-2022 tillsynsbegäran mail.docx", "A 26867-2022")</f>
        <v/>
      </c>
    </row>
    <row r="45" ht="15" customHeight="1">
      <c r="A45" t="inlineStr">
        <is>
          <t>A 29215-2022</t>
        </is>
      </c>
      <c r="B45" s="1" t="n">
        <v>44750</v>
      </c>
      <c r="C45" s="1" t="n">
        <v>45625</v>
      </c>
      <c r="D45" t="inlineStr">
        <is>
          <t>VÄSTRA GÖTALANDS LÄN</t>
        </is>
      </c>
      <c r="E45" t="inlineStr">
        <is>
          <t>BENGTSFORS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HYPERLINK("https://klasma.github.io/Logging_1460/artfynd/A 29215-2022 artfynd.xlsx", "A 29215-2022")</f>
        <v/>
      </c>
      <c r="T45">
        <f>HYPERLINK("https://klasma.github.io/Logging_1460/kartor/A 29215-2022 karta.png", "A 29215-2022")</f>
        <v/>
      </c>
      <c r="V45">
        <f>HYPERLINK("https://klasma.github.io/Logging_1460/klagomål/A 29215-2022 FSC-klagomål.docx", "A 29215-2022")</f>
        <v/>
      </c>
      <c r="W45">
        <f>HYPERLINK("https://klasma.github.io/Logging_1460/klagomålsmail/A 29215-2022 FSC-klagomål mail.docx", "A 29215-2022")</f>
        <v/>
      </c>
      <c r="X45">
        <f>HYPERLINK("https://klasma.github.io/Logging_1460/tillsyn/A 29215-2022 tillsynsbegäran.docx", "A 29215-2022")</f>
        <v/>
      </c>
      <c r="Y45">
        <f>HYPERLINK("https://klasma.github.io/Logging_1460/tillsynsmail/A 29215-2022 tillsynsbegäran mail.docx", "A 29215-2022")</f>
        <v/>
      </c>
    </row>
    <row r="46" ht="15" customHeight="1">
      <c r="A46" t="inlineStr">
        <is>
          <t>A 29204-2022</t>
        </is>
      </c>
      <c r="B46" s="1" t="n">
        <v>44750</v>
      </c>
      <c r="C46" s="1" t="n">
        <v>45625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31015-2022</t>
        </is>
      </c>
      <c r="B47" s="1" t="n">
        <v>44768</v>
      </c>
      <c r="C47" s="1" t="n">
        <v>45625</v>
      </c>
      <c r="D47" t="inlineStr">
        <is>
          <t>VÄSTRA GÖTALANDS LÄN</t>
        </is>
      </c>
      <c r="E47" t="inlineStr">
        <is>
          <t>BENGTSFORS</t>
        </is>
      </c>
      <c r="G47" t="n">
        <v>17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HYPERLINK("https://klasma.github.io/Logging_1460/artfynd/A 31015-2022 artfynd.xlsx", "A 31015-2022")</f>
        <v/>
      </c>
      <c r="T47">
        <f>HYPERLINK("https://klasma.github.io/Logging_1460/kartor/A 31015-2022 karta.png", "A 31015-2022")</f>
        <v/>
      </c>
      <c r="V47">
        <f>HYPERLINK("https://klasma.github.io/Logging_1460/klagomål/A 31015-2022 FSC-klagomål.docx", "A 31015-2022")</f>
        <v/>
      </c>
      <c r="W47">
        <f>HYPERLINK("https://klasma.github.io/Logging_1460/klagomålsmail/A 31015-2022 FSC-klagomål mail.docx", "A 31015-2022")</f>
        <v/>
      </c>
      <c r="X47">
        <f>HYPERLINK("https://klasma.github.io/Logging_1460/tillsyn/A 31015-2022 tillsynsbegäran.docx", "A 31015-2022")</f>
        <v/>
      </c>
      <c r="Y47">
        <f>HYPERLINK("https://klasma.github.io/Logging_1460/tillsynsmail/A 31015-2022 tillsynsbegäran mail.docx", "A 31015-2022")</f>
        <v/>
      </c>
      <c r="Z47">
        <f>HYPERLINK("https://klasma.github.io/Logging_1460/fåglar/A 31015-2022 prioriterade fågelarter.docx", "A 31015-2022")</f>
        <v/>
      </c>
    </row>
    <row r="48" ht="15" customHeight="1">
      <c r="A48" t="inlineStr">
        <is>
          <t>A 54032-2022</t>
        </is>
      </c>
      <c r="B48" s="1" t="n">
        <v>44881</v>
      </c>
      <c r="C48" s="1" t="n">
        <v>45625</v>
      </c>
      <c r="D48" t="inlineStr">
        <is>
          <t>VÄSTRA GÖTALANDS LÄN</t>
        </is>
      </c>
      <c r="E48" t="inlineStr">
        <is>
          <t>BENGTSFORS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HYPERLINK("https://klasma.github.io/Logging_1460/artfynd/A 54032-2022 artfynd.xlsx", "A 54032-2022")</f>
        <v/>
      </c>
      <c r="T48">
        <f>HYPERLINK("https://klasma.github.io/Logging_1460/kartor/A 54032-2022 karta.png", "A 54032-2022")</f>
        <v/>
      </c>
      <c r="V48">
        <f>HYPERLINK("https://klasma.github.io/Logging_1460/klagomål/A 54032-2022 FSC-klagomål.docx", "A 54032-2022")</f>
        <v/>
      </c>
      <c r="W48">
        <f>HYPERLINK("https://klasma.github.io/Logging_1460/klagomålsmail/A 54032-2022 FSC-klagomål mail.docx", "A 54032-2022")</f>
        <v/>
      </c>
      <c r="X48">
        <f>HYPERLINK("https://klasma.github.io/Logging_1460/tillsyn/A 54032-2022 tillsynsbegäran.docx", "A 54032-2022")</f>
        <v/>
      </c>
      <c r="Y48">
        <f>HYPERLINK("https://klasma.github.io/Logging_1460/tillsynsmail/A 54032-2022 tillsynsbegäran mail.docx", "A 54032-2022")</f>
        <v/>
      </c>
    </row>
    <row r="49" ht="15" customHeight="1">
      <c r="A49" t="inlineStr">
        <is>
          <t>A 56006-2022</t>
        </is>
      </c>
      <c r="B49" s="1" t="n">
        <v>44889</v>
      </c>
      <c r="C49" s="1" t="n">
        <v>45625</v>
      </c>
      <c r="D49" t="inlineStr">
        <is>
          <t>VÄSTRA GÖTALANDS LÄN</t>
        </is>
      </c>
      <c r="E49" t="inlineStr">
        <is>
          <t>BENGTSFORS</t>
        </is>
      </c>
      <c r="G49" t="n">
        <v>6.4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HYPERLINK("https://klasma.github.io/Logging_1460/artfynd/A 56006-2022 artfynd.xlsx", "A 56006-2022")</f>
        <v/>
      </c>
      <c r="T49">
        <f>HYPERLINK("https://klasma.github.io/Logging_1460/kartor/A 56006-2022 karta.png", "A 56006-2022")</f>
        <v/>
      </c>
      <c r="V49">
        <f>HYPERLINK("https://klasma.github.io/Logging_1460/klagomål/A 56006-2022 FSC-klagomål.docx", "A 56006-2022")</f>
        <v/>
      </c>
      <c r="W49">
        <f>HYPERLINK("https://klasma.github.io/Logging_1460/klagomålsmail/A 56006-2022 FSC-klagomål mail.docx", "A 56006-2022")</f>
        <v/>
      </c>
      <c r="X49">
        <f>HYPERLINK("https://klasma.github.io/Logging_1460/tillsyn/A 56006-2022 tillsynsbegäran.docx", "A 56006-2022")</f>
        <v/>
      </c>
      <c r="Y49">
        <f>HYPERLINK("https://klasma.github.io/Logging_1460/tillsynsmail/A 56006-2022 tillsynsbegäran mail.docx", "A 56006-2022")</f>
        <v/>
      </c>
    </row>
    <row r="50" ht="15" customHeight="1">
      <c r="A50" t="inlineStr">
        <is>
          <t>A 13053-2023</t>
        </is>
      </c>
      <c r="B50" s="1" t="n">
        <v>45002</v>
      </c>
      <c r="C50" s="1" t="n">
        <v>45625</v>
      </c>
      <c r="D50" t="inlineStr">
        <is>
          <t>VÄSTRA GÖTALANDS LÄN</t>
        </is>
      </c>
      <c r="E50" t="inlineStr">
        <is>
          <t>BENGTSFORS</t>
        </is>
      </c>
      <c r="G50" t="n">
        <v>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HYPERLINK("https://klasma.github.io/Logging_1460/artfynd/A 13053-2023 artfynd.xlsx", "A 13053-2023")</f>
        <v/>
      </c>
      <c r="T50">
        <f>HYPERLINK("https://klasma.github.io/Logging_1460/kartor/A 13053-2023 karta.png", "A 13053-2023")</f>
        <v/>
      </c>
      <c r="V50">
        <f>HYPERLINK("https://klasma.github.io/Logging_1460/klagomål/A 13053-2023 FSC-klagomål.docx", "A 13053-2023")</f>
        <v/>
      </c>
      <c r="W50">
        <f>HYPERLINK("https://klasma.github.io/Logging_1460/klagomålsmail/A 13053-2023 FSC-klagomål mail.docx", "A 13053-2023")</f>
        <v/>
      </c>
      <c r="X50">
        <f>HYPERLINK("https://klasma.github.io/Logging_1460/tillsyn/A 13053-2023 tillsynsbegäran.docx", "A 13053-2023")</f>
        <v/>
      </c>
      <c r="Y50">
        <f>HYPERLINK("https://klasma.github.io/Logging_1460/tillsynsmail/A 13053-2023 tillsynsbegäran mail.docx", "A 13053-2023")</f>
        <v/>
      </c>
      <c r="Z50">
        <f>HYPERLINK("https://klasma.github.io/Logging_1460/fåglar/A 13053-2023 prioriterade fågelarter.docx", "A 13053-2023")</f>
        <v/>
      </c>
    </row>
    <row r="51" ht="15" customHeight="1">
      <c r="A51" t="inlineStr">
        <is>
          <t>A 21300-2023</t>
        </is>
      </c>
      <c r="B51" s="1" t="n">
        <v>45062</v>
      </c>
      <c r="C51" s="1" t="n">
        <v>45625</v>
      </c>
      <c r="D51" t="inlineStr">
        <is>
          <t>VÄSTRA GÖTALANDS LÄN</t>
        </is>
      </c>
      <c r="E51" t="inlineStr">
        <is>
          <t>BENGTSFORS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HYPERLINK("https://klasma.github.io/Logging_1460/artfynd/A 21300-2023 artfynd.xlsx", "A 21300-2023")</f>
        <v/>
      </c>
      <c r="T51">
        <f>HYPERLINK("https://klasma.github.io/Logging_1460/kartor/A 21300-2023 karta.png", "A 21300-2023")</f>
        <v/>
      </c>
      <c r="V51">
        <f>HYPERLINK("https://klasma.github.io/Logging_1460/klagomål/A 21300-2023 FSC-klagomål.docx", "A 21300-2023")</f>
        <v/>
      </c>
      <c r="W51">
        <f>HYPERLINK("https://klasma.github.io/Logging_1460/klagomålsmail/A 21300-2023 FSC-klagomål mail.docx", "A 21300-2023")</f>
        <v/>
      </c>
      <c r="X51">
        <f>HYPERLINK("https://klasma.github.io/Logging_1460/tillsyn/A 21300-2023 tillsynsbegäran.docx", "A 21300-2023")</f>
        <v/>
      </c>
      <c r="Y51">
        <f>HYPERLINK("https://klasma.github.io/Logging_1460/tillsynsmail/A 21300-2023 tillsynsbegäran mail.docx", "A 21300-2023")</f>
        <v/>
      </c>
    </row>
    <row r="52" ht="15" customHeight="1">
      <c r="A52" t="inlineStr">
        <is>
          <t>A 46409-2023</t>
        </is>
      </c>
      <c r="B52" s="1" t="n">
        <v>45197</v>
      </c>
      <c r="C52" s="1" t="n">
        <v>45625</v>
      </c>
      <c r="D52" t="inlineStr">
        <is>
          <t>VÄSTRA GÖTALANDS LÄN</t>
        </is>
      </c>
      <c r="E52" t="inlineStr">
        <is>
          <t>BENGTSFORS</t>
        </is>
      </c>
      <c r="G52" t="n">
        <v>2.1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HYPERLINK("https://klasma.github.io/Logging_1460/artfynd/A 46409-2023 artfynd.xlsx", "A 46409-2023")</f>
        <v/>
      </c>
      <c r="T52">
        <f>HYPERLINK("https://klasma.github.io/Logging_1460/kartor/A 46409-2023 karta.png", "A 46409-2023")</f>
        <v/>
      </c>
      <c r="V52">
        <f>HYPERLINK("https://klasma.github.io/Logging_1460/klagomål/A 46409-2023 FSC-klagomål.docx", "A 46409-2023")</f>
        <v/>
      </c>
      <c r="W52">
        <f>HYPERLINK("https://klasma.github.io/Logging_1460/klagomålsmail/A 46409-2023 FSC-klagomål mail.docx", "A 46409-2023")</f>
        <v/>
      </c>
      <c r="X52">
        <f>HYPERLINK("https://klasma.github.io/Logging_1460/tillsyn/A 46409-2023 tillsynsbegäran.docx", "A 46409-2023")</f>
        <v/>
      </c>
      <c r="Y52">
        <f>HYPERLINK("https://klasma.github.io/Logging_1460/tillsynsmail/A 46409-2023 tillsynsbegäran mail.docx", "A 46409-2023")</f>
        <v/>
      </c>
    </row>
    <row r="53" ht="15" customHeight="1">
      <c r="A53" t="inlineStr">
        <is>
          <t>A 49153-2023</t>
        </is>
      </c>
      <c r="B53" s="1" t="n">
        <v>45210</v>
      </c>
      <c r="C53" s="1" t="n">
        <v>45625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HYPERLINK("https://klasma.github.io/Logging_1460/artfynd/A 49153-2023 artfynd.xlsx", "A 49153-2023")</f>
        <v/>
      </c>
      <c r="T53">
        <f>HYPERLINK("https://klasma.github.io/Logging_1460/kartor/A 49153-2023 karta.png", "A 49153-2023")</f>
        <v/>
      </c>
      <c r="V53">
        <f>HYPERLINK("https://klasma.github.io/Logging_1460/klagomål/A 49153-2023 FSC-klagomål.docx", "A 49153-2023")</f>
        <v/>
      </c>
      <c r="W53">
        <f>HYPERLINK("https://klasma.github.io/Logging_1460/klagomålsmail/A 49153-2023 FSC-klagomål mail.docx", "A 49153-2023")</f>
        <v/>
      </c>
      <c r="X53">
        <f>HYPERLINK("https://klasma.github.io/Logging_1460/tillsyn/A 49153-2023 tillsynsbegäran.docx", "A 49153-2023")</f>
        <v/>
      </c>
      <c r="Y53">
        <f>HYPERLINK("https://klasma.github.io/Logging_1460/tillsynsmail/A 49153-2023 tillsynsbegäran mail.docx", "A 49153-2023")</f>
        <v/>
      </c>
    </row>
    <row r="54" ht="15" customHeight="1">
      <c r="A54" t="inlineStr">
        <is>
          <t>A 54839-2023</t>
        </is>
      </c>
      <c r="B54" s="1" t="n">
        <v>45236</v>
      </c>
      <c r="C54" s="1" t="n">
        <v>45625</v>
      </c>
      <c r="D54" t="inlineStr">
        <is>
          <t>VÄSTRA GÖTALANDS LÄN</t>
        </is>
      </c>
      <c r="E54" t="inlineStr">
        <is>
          <t>BENGTSFORS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Klippfrullania</t>
        </is>
      </c>
      <c r="S54">
        <f>HYPERLINK("https://klasma.github.io/Logging_1460/artfynd/A 54839-2023 artfynd.xlsx", "A 54839-2023")</f>
        <v/>
      </c>
      <c r="T54">
        <f>HYPERLINK("https://klasma.github.io/Logging_1460/kartor/A 54839-2023 karta.png", "A 54839-2023")</f>
        <v/>
      </c>
      <c r="V54">
        <f>HYPERLINK("https://klasma.github.io/Logging_1460/klagomål/A 54839-2023 FSC-klagomål.docx", "A 54839-2023")</f>
        <v/>
      </c>
      <c r="W54">
        <f>HYPERLINK("https://klasma.github.io/Logging_1460/klagomålsmail/A 54839-2023 FSC-klagomål mail.docx", "A 54839-2023")</f>
        <v/>
      </c>
      <c r="X54">
        <f>HYPERLINK("https://klasma.github.io/Logging_1460/tillsyn/A 54839-2023 tillsynsbegäran.docx", "A 54839-2023")</f>
        <v/>
      </c>
      <c r="Y54">
        <f>HYPERLINK("https://klasma.github.io/Logging_1460/tillsynsmail/A 54839-2023 tillsynsbegäran mail.docx", "A 54839-2023")</f>
        <v/>
      </c>
    </row>
    <row r="55" ht="15" customHeight="1">
      <c r="A55" t="inlineStr">
        <is>
          <t>A 2504-2024</t>
        </is>
      </c>
      <c r="B55" s="1" t="n">
        <v>45313</v>
      </c>
      <c r="C55" s="1" t="n">
        <v>45625</v>
      </c>
      <c r="D55" t="inlineStr">
        <is>
          <t>VÄSTRA GÖTALANDS LÄN</t>
        </is>
      </c>
      <c r="E55" t="inlineStr">
        <is>
          <t>BENGTSFORS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HYPERLINK("https://klasma.github.io/Logging_1460/artfynd/A 2504-2024 artfynd.xlsx", "A 2504-2024")</f>
        <v/>
      </c>
      <c r="T55">
        <f>HYPERLINK("https://klasma.github.io/Logging_1460/kartor/A 2504-2024 karta.png", "A 2504-2024")</f>
        <v/>
      </c>
      <c r="V55">
        <f>HYPERLINK("https://klasma.github.io/Logging_1460/klagomål/A 2504-2024 FSC-klagomål.docx", "A 2504-2024")</f>
        <v/>
      </c>
      <c r="W55">
        <f>HYPERLINK("https://klasma.github.io/Logging_1460/klagomålsmail/A 2504-2024 FSC-klagomål mail.docx", "A 2504-2024")</f>
        <v/>
      </c>
      <c r="X55">
        <f>HYPERLINK("https://klasma.github.io/Logging_1460/tillsyn/A 2504-2024 tillsynsbegäran.docx", "A 2504-2024")</f>
        <v/>
      </c>
      <c r="Y55">
        <f>HYPERLINK("https://klasma.github.io/Logging_1460/tillsynsmail/A 2504-2024 tillsynsbegäran mail.docx", "A 2504-2024")</f>
        <v/>
      </c>
    </row>
    <row r="56" ht="15" customHeight="1">
      <c r="A56" t="inlineStr">
        <is>
          <t>A 3412-2024</t>
        </is>
      </c>
      <c r="B56" s="1" t="n">
        <v>45319</v>
      </c>
      <c r="C56" s="1" t="n">
        <v>45625</v>
      </c>
      <c r="D56" t="inlineStr">
        <is>
          <t>VÄSTRA GÖTALANDS LÄN</t>
        </is>
      </c>
      <c r="E56" t="inlineStr">
        <is>
          <t>BENGTSFORS</t>
        </is>
      </c>
      <c r="G56" t="n">
        <v>4.3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HYPERLINK("https://klasma.github.io/Logging_1460/artfynd/A 3412-2024 artfynd.xlsx", "A 3412-2024")</f>
        <v/>
      </c>
      <c r="T56">
        <f>HYPERLINK("https://klasma.github.io/Logging_1460/kartor/A 3412-2024 karta.png", "A 3412-2024")</f>
        <v/>
      </c>
      <c r="V56">
        <f>HYPERLINK("https://klasma.github.io/Logging_1460/klagomål/A 3412-2024 FSC-klagomål.docx", "A 3412-2024")</f>
        <v/>
      </c>
      <c r="W56">
        <f>HYPERLINK("https://klasma.github.io/Logging_1460/klagomålsmail/A 3412-2024 FSC-klagomål mail.docx", "A 3412-2024")</f>
        <v/>
      </c>
      <c r="X56">
        <f>HYPERLINK("https://klasma.github.io/Logging_1460/tillsyn/A 3412-2024 tillsynsbegäran.docx", "A 3412-2024")</f>
        <v/>
      </c>
      <c r="Y56">
        <f>HYPERLINK("https://klasma.github.io/Logging_1460/tillsynsmail/A 3412-2024 tillsynsbegäran mail.docx", "A 3412-2024")</f>
        <v/>
      </c>
      <c r="Z56">
        <f>HYPERLINK("https://klasma.github.io/Logging_1460/fåglar/A 3412-2024 prioriterade fågelarter.docx", "A 3412-2024")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45625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45625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45625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45625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45625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45625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45625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45625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45625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45625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45625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45625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45625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45625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45625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45625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45625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45625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45625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45625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45625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45625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45625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45625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45625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45625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45625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45625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45625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45625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45625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45625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45625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45625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45625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45625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45625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45625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45625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45625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45625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45625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45625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45625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45625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45625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45625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45625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45625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45625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45625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45625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45625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45625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45625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45625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45625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45625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45625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45625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45625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45625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45625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45625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45625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45625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45625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45625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45625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45625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45625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45625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45625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45625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45625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45625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45625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45625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45625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45625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45625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45625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45625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45625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45625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45625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45625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45625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45625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45625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45625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45625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45625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45625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45625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45625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45625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45625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45625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45625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45625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45625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45625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45625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45625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45625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45625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45625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45625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45625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45625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45625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45625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45625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45625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45625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45625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45625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45625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45625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45625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45625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45625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45625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45625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45625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45625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45625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45625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45625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45625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45625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45625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45625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45625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45625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45625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45625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45625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45625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45625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45625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45625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45625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45625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45625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45625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45625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45625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45625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45625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45625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45625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45625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45625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45625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45625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45625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45625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45625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45625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45625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45625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45625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45625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45625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45625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45625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45625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45625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45625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45625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45625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45625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45625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45625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45625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45625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45625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45625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45625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45625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45625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45625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45625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45625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45625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45625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45625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45625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45625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45625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45625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45625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45625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45625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45625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45625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45625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45625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45625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45625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45625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45625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45625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45625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45625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45625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45625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45625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45625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45625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45625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45625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45625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45625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45625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45625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45625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45625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45625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45625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45625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45625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45625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45625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45625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45625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45625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45625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45625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45625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45625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45625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45625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45625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45625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45625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45625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45625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45625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45625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45625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45625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45625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45625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45625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45625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45625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45625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45625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45625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45625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45625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45625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45625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45625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45625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45625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45625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45625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45625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45625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45625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45625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45625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45625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45625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45625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45625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45625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45625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45625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45625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45625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45625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45625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45625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45625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45625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45625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45625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45625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45625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45625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45625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45625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45625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45625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45625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45625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45625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45625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45625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45625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45625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45625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45625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45625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45625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45625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45625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45625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45625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45625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45625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45625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45625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45625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45625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45625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45625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45625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45625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45625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45625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45625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45625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45625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45625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45625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45625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45625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45625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45625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45625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45625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45625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45625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45625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45625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45625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45625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45625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45625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45625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45625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45625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45625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45625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45625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45625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45625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45625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45625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45625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45625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45625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45625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45625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45625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45625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45625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45625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45625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45625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45625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45625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45625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45625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45625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45625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45625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45625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45625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45625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45625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45625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45625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45625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45625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45625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45625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45625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45625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45625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45625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45625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45625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45625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45625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45625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45625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45625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45625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45625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45625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45625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45625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45625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45625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45625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45625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45625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45625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45625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45625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45625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45625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45625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45625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45625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45625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45625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45625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45625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45625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45625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45625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45625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45625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45625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45625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45625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45625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45625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45625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45625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45625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45625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45625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45625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45625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45625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45625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45625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45625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45625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45625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45625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45625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45625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45625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45625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45625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45625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45625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45625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45625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45625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45625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45625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45625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45625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45625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45625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45625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45625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45625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45625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45625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45625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45625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45625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45625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45625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45625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45625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45625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45625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45625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45625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45625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45625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45625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45625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45625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45625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45625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45625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45625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45625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45625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45625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45625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45625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45625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45625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45625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45625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45625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45625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45625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45625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45625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45625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45625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45625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45625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45625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45625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45625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45625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45625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45625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45625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45625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45625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45625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45625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45625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45625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45625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45625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45625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45625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45625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45625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45625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45625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45625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45625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45625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45625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45625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45625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45625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45625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45625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45625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45625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45625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45625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45625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45625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45625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45625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45625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45625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45625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45625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45625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45625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45625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45625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45625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45625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45625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45625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45625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45625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45625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45625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45625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45625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45625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45625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45625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45625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45625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45625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45625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45625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45625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45625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45625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45625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45625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45625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45625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45625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45625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45625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45625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45625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45625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45625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45625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45625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45625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45625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45625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45625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45625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45625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45625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45625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45625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45625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45625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45625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45625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45625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45625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45625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45625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45625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45625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45625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45625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45625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45625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45625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45625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45625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45625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45625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45625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45625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45625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45625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45625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45625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45625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45625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45625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45625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45625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45625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45625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45625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45625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45625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45625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45625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45625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45625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45625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45625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45625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45625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45625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45625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45625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45625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45625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45625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45625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45625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45625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45625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45625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45625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45625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45625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45625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45625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45625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45625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45625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45625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45625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45625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45625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45625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45625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45625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45625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45625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45625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45625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45625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45625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45625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45625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45625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45625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45625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45625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45625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45625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45625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45625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45625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45625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45625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45625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45625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45625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45625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45625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45625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45625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45625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45625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45625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45625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45625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45625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45625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45625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45625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45625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45625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45625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45625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45625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45625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45625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45625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45625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45625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45625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45625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45625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45625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45625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45625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45625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45625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45625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45625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45625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45625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45625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45625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45625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45625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45625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45625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45625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45625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45625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45625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45625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45625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45625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45625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45625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45625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45625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45625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45625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45625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45625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45625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45625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45625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45625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45625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45625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45625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45625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45625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45625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45625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45625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45625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45625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45625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45625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45625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45625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45625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45625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45625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45625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45625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45625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45625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45625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45625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45625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45625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45625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45625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45625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45625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45625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45625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45625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45625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45625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45625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45625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45625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45625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45625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45625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45625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45625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45625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45625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45625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45625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45625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45625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45625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45625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45625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45625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45625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45625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45625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45625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45625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45625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45625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45625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45625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45625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45625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45625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45625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45625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45625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45625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45625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45625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45625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45625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45625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45625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45625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45625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45625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45625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45625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45625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45625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45625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45625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45625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45625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45625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45625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45625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45625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45625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45625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45625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45625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45625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45625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45625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45625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45625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45625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45625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45625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45625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45625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45625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45625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45625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45625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45625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45625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45625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45625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45625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45625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45625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45625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45625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45625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45625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45625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45625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45625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45625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45625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45625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45625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45625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45625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45625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45625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45625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45625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45625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45625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45625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45625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45625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45625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45625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45625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45625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45625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45625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45625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45625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45625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45625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45625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45625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45625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45625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45625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45625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45625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45625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45625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45625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45625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45625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45625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45625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45625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45625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45625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45625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45625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45625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45625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45625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45625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45625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45625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45625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45625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45625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45625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45625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45625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45625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45625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45625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45625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45625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45625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45625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45625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45625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45625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45625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45625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45625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45625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45625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45625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45625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45625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45625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45625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45625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45625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45625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45625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45625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45625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45625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45625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45625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45625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45625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45625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45625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45625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45625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45625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45625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45625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45625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45625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45625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45625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45625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45625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45625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45625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45625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45625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45625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45625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45625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45625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45625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45625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45625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45625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45625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45625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45625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45625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45625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45625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45625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45625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45625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45625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45625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45625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45625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45625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45625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45625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45625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45625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45625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45625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45625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45625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45625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45625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45625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45625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45625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45625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45625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45625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45625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45625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45625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45625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45625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45625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45625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45625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45625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45625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45625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45625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45625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45625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45625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45625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45625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49618-2024</t>
        </is>
      </c>
      <c r="B1066" s="1" t="n">
        <v>45596</v>
      </c>
      <c r="C1066" s="1" t="n">
        <v>45625</v>
      </c>
      <c r="D1066" t="inlineStr">
        <is>
          <t>VÄSTRA GÖTALANDS LÄN</t>
        </is>
      </c>
      <c r="E1066" t="inlineStr">
        <is>
          <t>BENGTSFORS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49603-2024</t>
        </is>
      </c>
      <c r="B1067" s="1" t="n">
        <v>45596</v>
      </c>
      <c r="C1067" s="1" t="n">
        <v>45625</v>
      </c>
      <c r="D1067" t="inlineStr">
        <is>
          <t>VÄSTRA GÖTALANDS LÄN</t>
        </is>
      </c>
      <c r="E1067" t="inlineStr">
        <is>
          <t>BENGTSFORS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49595-2024</t>
        </is>
      </c>
      <c r="B1068" s="1" t="n">
        <v>45596</v>
      </c>
      <c r="C1068" s="1" t="n">
        <v>45625</v>
      </c>
      <c r="D1068" t="inlineStr">
        <is>
          <t>VÄSTRA GÖTALANDS LÄN</t>
        </is>
      </c>
      <c r="E1068" t="inlineStr">
        <is>
          <t>BENGTSFORS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45625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45625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45625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45625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50916-2024</t>
        </is>
      </c>
      <c r="B1073" s="1" t="n">
        <v>45602</v>
      </c>
      <c r="C1073" s="1" t="n">
        <v>45625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45625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50986-2024</t>
        </is>
      </c>
      <c r="B1075" s="1" t="n">
        <v>45603</v>
      </c>
      <c r="C1075" s="1" t="n">
        <v>45625</v>
      </c>
      <c r="D1075" t="inlineStr">
        <is>
          <t>VÄSTRA GÖTALANDS LÄN</t>
        </is>
      </c>
      <c r="E1075" t="inlineStr">
        <is>
          <t>BENGTSFORS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50988-2024</t>
        </is>
      </c>
      <c r="B1076" s="1" t="n">
        <v>45603</v>
      </c>
      <c r="C1076" s="1" t="n">
        <v>45625</v>
      </c>
      <c r="D1076" t="inlineStr">
        <is>
          <t>VÄSTRA GÖTALANDS LÄN</t>
        </is>
      </c>
      <c r="E1076" t="inlineStr">
        <is>
          <t>BENGTSFORS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45625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45625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45625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45625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45625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45625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45625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55190-2024</t>
        </is>
      </c>
      <c r="B1084" s="1" t="n">
        <v>45621</v>
      </c>
      <c r="C1084" s="1" t="n">
        <v>45625</v>
      </c>
      <c r="D1084" t="inlineStr">
        <is>
          <t>VÄSTRA GÖTALANDS LÄN</t>
        </is>
      </c>
      <c r="E1084" t="inlineStr">
        <is>
          <t>BENGTSFORS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55136-2024</t>
        </is>
      </c>
      <c r="B1085" s="1" t="n">
        <v>45621</v>
      </c>
      <c r="C1085" s="1" t="n">
        <v>45625</v>
      </c>
      <c r="D1085" t="inlineStr">
        <is>
          <t>VÄSTRA GÖTALANDS LÄN</t>
        </is>
      </c>
      <c r="E1085" t="inlineStr">
        <is>
          <t>BENGTSFORS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55193-2024</t>
        </is>
      </c>
      <c r="B1086" s="1" t="n">
        <v>45621</v>
      </c>
      <c r="C1086" s="1" t="n">
        <v>45625</v>
      </c>
      <c r="D1086" t="inlineStr">
        <is>
          <t>VÄSTRA GÖTALANDS LÄN</t>
        </is>
      </c>
      <c r="E1086" t="inlineStr">
        <is>
          <t>BENGTSFORS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55208-2024</t>
        </is>
      </c>
      <c r="B1087" s="1" t="n">
        <v>45621</v>
      </c>
      <c r="C1087" s="1" t="n">
        <v>45625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45625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55922-2024</t>
        </is>
      </c>
      <c r="B1089" s="1" t="n">
        <v>45623</v>
      </c>
      <c r="C1089" s="1" t="n">
        <v>45625</v>
      </c>
      <c r="D1089" t="inlineStr">
        <is>
          <t>VÄSTRA GÖTALANDS LÄN</t>
        </is>
      </c>
      <c r="E1089" t="inlineStr">
        <is>
          <t>BENGTSFORS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56006-2024</t>
        </is>
      </c>
      <c r="B1090" s="1" t="n">
        <v>45623</v>
      </c>
      <c r="C1090" s="1" t="n">
        <v>45625</v>
      </c>
      <c r="D1090" t="inlineStr">
        <is>
          <t>VÄSTRA GÖTALANDS LÄN</t>
        </is>
      </c>
      <c r="E1090" t="inlineStr">
        <is>
          <t>BENGTSFORS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55918-2024</t>
        </is>
      </c>
      <c r="B1091" s="1" t="n">
        <v>45623</v>
      </c>
      <c r="C1091" s="1" t="n">
        <v>45625</v>
      </c>
      <c r="D1091" t="inlineStr">
        <is>
          <t>VÄSTRA GÖTALANDS LÄN</t>
        </is>
      </c>
      <c r="E1091" t="inlineStr">
        <is>
          <t>BENGTSFORS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55968-2024</t>
        </is>
      </c>
      <c r="B1092" s="1" t="n">
        <v>45623</v>
      </c>
      <c r="C1092" s="1" t="n">
        <v>45625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2024-11-29T14:59:51Z</dcterms:created>
  <dcterms:modified xmlns:dcterms="http://purl.org/dc/terms/" xmlns:xsi="http://www.w3.org/2001/XMLSchema-instance" xsi:type="dcterms:W3CDTF">2024-11-29T14:59:52Z</dcterms:modified>
</cp:coreProperties>
</file>