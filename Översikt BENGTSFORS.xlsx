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45649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45649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45649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45649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45649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45649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45649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45649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60679-2023</t>
        </is>
      </c>
      <c r="B10" s="1" t="n">
        <v>45260</v>
      </c>
      <c r="C10" s="1" t="n">
        <v>45649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13969-2024</t>
        </is>
      </c>
      <c r="B11" s="1" t="n">
        <v>45392</v>
      </c>
      <c r="C11" s="1" t="n">
        <v>45649</v>
      </c>
      <c r="D11" t="inlineStr">
        <is>
          <t>VÄSTRA GÖTALANDS LÄN</t>
        </is>
      </c>
      <c r="E11" t="inlineStr">
        <is>
          <t>BENGTSFORS</t>
        </is>
      </c>
      <c r="G11" t="n">
        <v>8</v>
      </c>
      <c r="H11" t="n">
        <v>6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Mindre hackspett
Spillkråka
Grön sköldmossa
Vedticka
Mattlummer
Revlummer</t>
        </is>
      </c>
      <c r="S11">
        <f>HYPERLINK("https://klasma.github.io/Logging_1460/artfynd/A 13969-2024 artfynd.xlsx", "A 13969-2024")</f>
        <v/>
      </c>
      <c r="T11">
        <f>HYPERLINK("https://klasma.github.io/Logging_1460/kartor/A 13969-2024 karta.png", "A 13969-2024")</f>
        <v/>
      </c>
      <c r="U11">
        <f>HYPERLINK("https://klasma.github.io/Logging_1460/knärot/A 13969-2024 karta knärot.png", "A 13969-2024")</f>
        <v/>
      </c>
      <c r="V11">
        <f>HYPERLINK("https://klasma.github.io/Logging_1460/klagomål/A 13969-2024 FSC-klagomål.docx", "A 13969-2024")</f>
        <v/>
      </c>
      <c r="W11">
        <f>HYPERLINK("https://klasma.github.io/Logging_1460/klagomålsmail/A 13969-2024 FSC-klagomål mail.docx", "A 13969-2024")</f>
        <v/>
      </c>
      <c r="X11">
        <f>HYPERLINK("https://klasma.github.io/Logging_1460/tillsyn/A 13969-2024 tillsynsbegäran.docx", "A 13969-2024")</f>
        <v/>
      </c>
      <c r="Y11">
        <f>HYPERLINK("https://klasma.github.io/Logging_1460/tillsynsmail/A 13969-2024 tillsynsbegäran mail.docx", "A 13969-2024")</f>
        <v/>
      </c>
      <c r="Z11">
        <f>HYPERLINK("https://klasma.github.io/Logging_1460/fåglar/A 13969-2024 prioriterade fågelarter.docx", "A 13969-2024")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45649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45649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45649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45649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45649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45649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45649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45649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45649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45649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45649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45649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45649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45649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45649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45649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45649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45649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45649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45649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45649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45649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45649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45649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45649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45649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45649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45649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45649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45649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45649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45649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45649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45649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45649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45649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45649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45649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45649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45649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45649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45649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45649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45649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45649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45649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45649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45649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45649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45649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45649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45649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45649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45649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45649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45649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45649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45649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45649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45649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45649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45649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45649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45649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45649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45649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45649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45649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45649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45649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45649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45649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45649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45649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45649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45649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45649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45649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45649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45649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45649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45649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45649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45649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45649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45649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45649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45649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45649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45649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45649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45649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45649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45649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45649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45649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45649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45649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45649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45649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45649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45649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45649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45649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45649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45649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45649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45649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45649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45649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45649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45649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45649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45649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45649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45649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45649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45649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45649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45649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45649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45649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45649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45649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45649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45649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45649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45649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45649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45649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45649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45649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45649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45649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45649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45649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45649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45649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45649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45649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45649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45649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45649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45649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45649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45649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45649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45649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45649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45649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45649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45649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45649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45649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45649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45649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45649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45649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45649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45649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45649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45649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45649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45649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45649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45649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45649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45649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45649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45649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45649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45649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45649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45649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45649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45649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45649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45649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45649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45649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45649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45649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45649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45649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45649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45649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45649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45649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45649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45649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45649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45649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45649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45649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45649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45649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45649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45649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45649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45649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45649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45649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45649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45649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45649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45649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45649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45649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45649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45649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45649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45649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45649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45649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45649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45649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45649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45649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45649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45649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45649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45649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45649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45649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45649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45649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45649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45649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45649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45649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45649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45649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45649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45649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45649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45649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45649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45649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45649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45649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45649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45649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45649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45649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45649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45649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45649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45649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45649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45649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45649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45649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45649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45649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45649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45649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45649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45649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45649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45649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45649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45649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45649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45649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45649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45649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45649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45649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45649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45649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45649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45649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45649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45649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45649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45649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45649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45649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45649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45649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45649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45649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45649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45649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45649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45649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45649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45649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45649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45649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45649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45649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45649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45649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45649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45649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45649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45649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45649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45649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45649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45649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45649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45649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45649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45649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45649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45649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45649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45649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45649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45649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45649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45649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45649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45649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45649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45649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45649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45649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45649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45649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45649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45649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45649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45649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45649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45649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45649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45649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45649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45649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45649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45649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45649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45649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45649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45649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45649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45649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45649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45649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45649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45649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45649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45649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45649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45649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45649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45649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45649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45649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45649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45649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45649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45649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45649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45649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45649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45649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45649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45649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45649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45649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45649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45649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45649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45649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45649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45649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45649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45649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45649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45649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45649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45649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45649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45649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45649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45649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45649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45649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45649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45649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45649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45649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45649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45649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45649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45649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45649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45649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45649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45649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45649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45649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45649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45649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45649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45649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45649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45649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45649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45649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45649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45649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45649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45649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45649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45649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45649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45649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45649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45649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45649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45649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45649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45649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45649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45649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45649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45649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45649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45649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45649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45649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45649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45649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45649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45649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45649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45649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45649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45649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45649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45649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45649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45649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45649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45649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45649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45649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45649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45649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45649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45649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45649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45649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45649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45649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45649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45649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45649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45649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45649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45649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45649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45649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45649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45649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45649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45649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45649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45649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45649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45649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45649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45649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45649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45649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45649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45649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45649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45649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45649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45649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45649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45649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45649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45649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45649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45649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45649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45649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45649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45649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45649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45649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45649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45649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45649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45649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45649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45649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45649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45649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45649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45649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45649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45649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45649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45649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45649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45649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45649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45649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45649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45649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45649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45649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45649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45649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45649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45649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45649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45649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45649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45649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45649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45649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45649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45649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45649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45649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45649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45649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45649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45649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45649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45649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45649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45649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45649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45649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45649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45649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45649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45649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45649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45649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45649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45649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45649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45649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45649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45649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45649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45649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45649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45649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45649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45649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45649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45649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45649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45649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45649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45649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45649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45649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45649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45649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45649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45649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45649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45649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45649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45649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45649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45649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45649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45649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45649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45649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45649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45649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45649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45649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45649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45649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45649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45649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45649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45649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45649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45649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45649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45649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45649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45649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45649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45649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45649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45649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45649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45649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45649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45649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45649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45649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45649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45649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45649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45649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45649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45649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45649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45649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45649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45649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45649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45649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45649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45649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45649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45649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45649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45649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45649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45649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45649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45649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45649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45649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45649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45649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45649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45649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45649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45649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45649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45649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45649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45649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45649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45649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45649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45649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45649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45649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45649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45649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45649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45649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45649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45649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45649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45649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45649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45649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45649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45649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45649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45649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45649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45649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45649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45649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45649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45649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45649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45649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45649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45649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45649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45649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45649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45649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45649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45649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45649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45649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45649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45649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45649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45649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45649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45649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45649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45649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45649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45649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45649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45649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45649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45649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45649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45649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45649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45649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45649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45649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45649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45649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45649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45649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45649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45649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45649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45649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45649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45649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45649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45649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45649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45649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45649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45649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45649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45649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45649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45649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45649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45649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45649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45649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45649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45649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45649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45649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45649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45649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45649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45649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45649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45649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45649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45649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45649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45649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45649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45649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45649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45649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45649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45649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45649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45649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45649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45649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45649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45649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45649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45649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45649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45649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45649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45649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45649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45649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45649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45649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45649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45649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45649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45649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45649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45649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45649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45649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45649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45649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45649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45649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45649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45649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45649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45649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45649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45649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45649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45649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45649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45649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45649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45649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45649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45649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45649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45649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45649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45649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45649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45649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45649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45649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45649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45649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45649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45649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45649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45649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45649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45649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45649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45649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45649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45649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45649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45649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45649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45649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45649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45649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45649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45649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45649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45649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45649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45649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45649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45649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45649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45649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45649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45649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45649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45649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45649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45649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45649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45649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45649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45649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45649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45649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45649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45649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45649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45649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45649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45649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45649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45649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45649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45649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45649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45649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45649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45649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45649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45649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45649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45649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45649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45649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45649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45649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45649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45649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45649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45649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45649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45649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45649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45649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45649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45649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45649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45649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45649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45649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45649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45649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45649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45649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45649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45649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45649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45649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45649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45649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45649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45649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45649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45649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45649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45649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45649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45649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45649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45649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45649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45649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45649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45649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45649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45649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45649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45649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45649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45649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45649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45649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45649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45649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45649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45649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45649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45649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45649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45649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45649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45649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45649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45649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45649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45649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45649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45649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45649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45649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45649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45649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45649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45649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45649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45649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45649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45649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45649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45649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45649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45649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45649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45649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45649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45649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45649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45649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45649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45649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45649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45649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45649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45649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45649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45649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45649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45649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45649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45649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45649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45649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45649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45649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45649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45649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45649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45649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45649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45649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45649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45649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45649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45649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45649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45649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45649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45649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45649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45649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45649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45649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45649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45649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45649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45649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45649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45649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45649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45649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45649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45649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45649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45649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45649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45649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45649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45649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45649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45649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45649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45649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45649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45649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45649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45649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45649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45649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45649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45649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45649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45649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45649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45649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45649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45649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45649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45649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45649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45649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45649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45649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45649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45649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45649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45649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45649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45649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45649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45649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45649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45649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45649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45649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45649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45649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45649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45649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45649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45649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45649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45649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45649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45649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45649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45649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45649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45649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45649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45649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45649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45649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45649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45649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45649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45649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45649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45649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45649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45649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45649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45649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45649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45649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45649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45649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45649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45649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45649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45649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45649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45649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45649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45649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45649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45649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45649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45649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45649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45649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45649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45649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45649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45649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45649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45649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45649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45649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45649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45649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45649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45649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45649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45649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45649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45649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45649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45649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45649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45649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45649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45649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45649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45649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45649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45649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58377-2024</t>
        </is>
      </c>
      <c r="B1100" s="1" t="n">
        <v>45632</v>
      </c>
      <c r="C1100" s="1" t="n">
        <v>45649</v>
      </c>
      <c r="D1100" t="inlineStr">
        <is>
          <t>VÄSTRA GÖTALANDS LÄN</t>
        </is>
      </c>
      <c r="E1100" t="inlineStr">
        <is>
          <t>BENGTSFORS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58158-2024</t>
        </is>
      </c>
      <c r="B1101" s="1" t="n">
        <v>45632</v>
      </c>
      <c r="C1101" s="1" t="n">
        <v>45649</v>
      </c>
      <c r="D1101" t="inlineStr">
        <is>
          <t>VÄSTRA GÖTALANDS LÄN</t>
        </is>
      </c>
      <c r="E1101" t="inlineStr">
        <is>
          <t>BENGTSFORS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58222-2024</t>
        </is>
      </c>
      <c r="B1102" s="1" t="n">
        <v>45632</v>
      </c>
      <c r="C1102" s="1" t="n">
        <v>45649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58323-2024</t>
        </is>
      </c>
      <c r="B1103" s="1" t="n">
        <v>45632</v>
      </c>
      <c r="C1103" s="1" t="n">
        <v>45649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45649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45649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45649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59465-2024</t>
        </is>
      </c>
      <c r="B1107" s="1" t="n">
        <v>45638</v>
      </c>
      <c r="C1107" s="1" t="n">
        <v>45649</v>
      </c>
      <c r="D1107" t="inlineStr">
        <is>
          <t>VÄSTRA GÖTALANDS LÄN</t>
        </is>
      </c>
      <c r="E1107" t="inlineStr">
        <is>
          <t>BENGTSFORS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45649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59468-2024</t>
        </is>
      </c>
      <c r="B1109" s="1" t="n">
        <v>45638</v>
      </c>
      <c r="C1109" s="1" t="n">
        <v>45649</v>
      </c>
      <c r="D1109" t="inlineStr">
        <is>
          <t>VÄSTRA GÖTALANDS LÄN</t>
        </is>
      </c>
      <c r="E1109" t="inlineStr">
        <is>
          <t>BENGTSFORS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45649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60522-2024</t>
        </is>
      </c>
      <c r="B1111" s="1" t="n">
        <v>45643</v>
      </c>
      <c r="C1111" s="1" t="n">
        <v>45649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60525-2024</t>
        </is>
      </c>
      <c r="B1112" s="1" t="n">
        <v>45643</v>
      </c>
      <c r="C1112" s="1" t="n">
        <v>45649</v>
      </c>
      <c r="D1112" t="inlineStr">
        <is>
          <t>VÄSTRA GÖTALANDS LÄN</t>
        </is>
      </c>
      <c r="E1112" t="inlineStr">
        <is>
          <t>BENGTSFORS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60429-2024</t>
        </is>
      </c>
      <c r="B1113" s="1" t="n">
        <v>45643</v>
      </c>
      <c r="C1113" s="1" t="n">
        <v>45649</v>
      </c>
      <c r="D1113" t="inlineStr">
        <is>
          <t>VÄSTRA GÖTALANDS LÄN</t>
        </is>
      </c>
      <c r="E1113" t="inlineStr">
        <is>
          <t>BENGTSFORS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60975-2024</t>
        </is>
      </c>
      <c r="B1114" s="1" t="n">
        <v>45645</v>
      </c>
      <c r="C1114" s="1" t="n">
        <v>45649</v>
      </c>
      <c r="D1114" t="inlineStr">
        <is>
          <t>VÄSTRA GÖTALANDS LÄN</t>
        </is>
      </c>
      <c r="E1114" t="inlineStr">
        <is>
          <t>BENGTSFORS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60979-2024</t>
        </is>
      </c>
      <c r="B1115" s="1" t="n">
        <v>45645</v>
      </c>
      <c r="C1115" s="1" t="n">
        <v>45649</v>
      </c>
      <c r="D1115" t="inlineStr">
        <is>
          <t>VÄSTRA GÖTALANDS LÄN</t>
        </is>
      </c>
      <c r="E1115" t="inlineStr">
        <is>
          <t>BENGTSFORS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60984-2024</t>
        </is>
      </c>
      <c r="B1116" s="1" t="n">
        <v>45645</v>
      </c>
      <c r="C1116" s="1" t="n">
        <v>45649</v>
      </c>
      <c r="D1116" t="inlineStr">
        <is>
          <t>VÄSTRA GÖTALANDS LÄN</t>
        </is>
      </c>
      <c r="E1116" t="inlineStr">
        <is>
          <t>BENGTSFORS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61041-2024</t>
        </is>
      </c>
      <c r="B1117" s="1" t="n">
        <v>45645</v>
      </c>
      <c r="C1117" s="1" t="n">
        <v>45649</v>
      </c>
      <c r="D1117" t="inlineStr">
        <is>
          <t>VÄSTRA GÖTALANDS LÄN</t>
        </is>
      </c>
      <c r="E1117" t="inlineStr">
        <is>
          <t>BENGTSFORS</t>
        </is>
      </c>
      <c r="G1117" t="n">
        <v>15.1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60983-2024</t>
        </is>
      </c>
      <c r="B1118" s="1" t="n">
        <v>45645</v>
      </c>
      <c r="C1118" s="1" t="n">
        <v>45649</v>
      </c>
      <c r="D1118" t="inlineStr">
        <is>
          <t>VÄSTRA GÖTALANDS LÄN</t>
        </is>
      </c>
      <c r="E1118" t="inlineStr">
        <is>
          <t>BENGTSFORS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60987-2024</t>
        </is>
      </c>
      <c r="B1119" s="1" t="n">
        <v>45645</v>
      </c>
      <c r="C1119" s="1" t="n">
        <v>45649</v>
      </c>
      <c r="D1119" t="inlineStr">
        <is>
          <t>VÄSTRA GÖTALANDS LÄN</t>
        </is>
      </c>
      <c r="E1119" t="inlineStr">
        <is>
          <t>BENGTSFORS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60967-2024</t>
        </is>
      </c>
      <c r="B1120" s="1" t="n">
        <v>45645</v>
      </c>
      <c r="C1120" s="1" t="n">
        <v>45649</v>
      </c>
      <c r="D1120" t="inlineStr">
        <is>
          <t>VÄSTRA GÖTALANDS LÄN</t>
        </is>
      </c>
      <c r="E1120" t="inlineStr">
        <is>
          <t>BENGTSFORS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61047-2024</t>
        </is>
      </c>
      <c r="B1121" s="1" t="n">
        <v>45645</v>
      </c>
      <c r="C1121" s="1" t="n">
        <v>45649</v>
      </c>
      <c r="D1121" t="inlineStr">
        <is>
          <t>VÄSTRA GÖTALANDS LÄN</t>
        </is>
      </c>
      <c r="E1121" t="inlineStr">
        <is>
          <t>BENGTSFORS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61051-2024</t>
        </is>
      </c>
      <c r="B1122" s="1" t="n">
        <v>45645</v>
      </c>
      <c r="C1122" s="1" t="n">
        <v>45649</v>
      </c>
      <c r="D1122" t="inlineStr">
        <is>
          <t>VÄSTRA GÖTALANDS LÄN</t>
        </is>
      </c>
      <c r="E1122" t="inlineStr">
        <is>
          <t>BENGTSFORS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61242-2024</t>
        </is>
      </c>
      <c r="B1123" s="1" t="n">
        <v>45645</v>
      </c>
      <c r="C1123" s="1" t="n">
        <v>45649</v>
      </c>
      <c r="D1123" t="inlineStr">
        <is>
          <t>VÄSTRA GÖTALANDS LÄN</t>
        </is>
      </c>
      <c r="E1123" t="inlineStr">
        <is>
          <t>BENGTSFORS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60990-2024</t>
        </is>
      </c>
      <c r="B1124" s="1" t="n">
        <v>45645</v>
      </c>
      <c r="C1124" s="1" t="n">
        <v>45649</v>
      </c>
      <c r="D1124" t="inlineStr">
        <is>
          <t>VÄSTRA GÖTALANDS LÄN</t>
        </is>
      </c>
      <c r="E1124" t="inlineStr">
        <is>
          <t>BENGTSFORS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61237-2024</t>
        </is>
      </c>
      <c r="B1125" s="1" t="n">
        <v>45645</v>
      </c>
      <c r="C1125" s="1" t="n">
        <v>45649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2024-12-23T15:47:07Z</dcterms:created>
  <dcterms:modified xmlns:dcterms="http://purl.org/dc/terms/" xmlns:xsi="http://www.w3.org/2001/XMLSchema-instance" xsi:type="dcterms:W3CDTF">2024-12-23T15:47:08Z</dcterms:modified>
</cp:coreProperties>
</file>