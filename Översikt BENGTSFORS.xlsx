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46221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V2">
        <f>HYPERLINK("https://klasma.github.io/Logging_1460/artfynd/A 54343-2025 artfynd.xlsx", "A 54343-2025")</f>
        <v/>
      </c>
      <c r="W2">
        <f>HYPERLINK("https://klasma.github.io/Logging_1460/kartor/A 54343-2025 karta.png", "A 54343-2025")</f>
        <v/>
      </c>
      <c r="Y2">
        <f>HYPERLINK("https://klasma.github.io/Logging_1460/klagomål/A 54343-2025 FSC-klagomål.docx", "A 54343-2025")</f>
        <v/>
      </c>
      <c r="Z2">
        <f>HYPERLINK("https://klasma.github.io/Logging_1460/klagomålsmail/A 54343-2025 FSC-klagomål mail.docx", "A 54343-2025")</f>
        <v/>
      </c>
      <c r="AA2">
        <f>HYPERLINK("https://klasma.github.io/Logging_1460/tillsyn/A 54343-2025 tillsynsbegäran.docx", "A 54343-2025")</f>
        <v/>
      </c>
      <c r="AB2">
        <f>HYPERLINK("https://klasma.github.io/Logging_1460/tillsynsmail/A 54343-2025 tillsynsbegäran mail.docx", "A 54343-2025")</f>
        <v/>
      </c>
      <c r="AC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46221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V3">
        <f>HYPERLINK("https://klasma.github.io/Logging_1460/artfynd/A 34258-2023 artfynd.xlsx", "A 34258-2023")</f>
        <v/>
      </c>
      <c r="W3">
        <f>HYPERLINK("https://klasma.github.io/Logging_1460/kartor/A 34258-2023 karta.png", "A 34258-2023")</f>
        <v/>
      </c>
      <c r="Y3">
        <f>HYPERLINK("https://klasma.github.io/Logging_1460/klagomål/A 34258-2023 FSC-klagomål.docx", "A 34258-2023")</f>
        <v/>
      </c>
      <c r="Z3">
        <f>HYPERLINK("https://klasma.github.io/Logging_1460/klagomålsmail/A 34258-2023 FSC-klagomål mail.docx", "A 34258-2023")</f>
        <v/>
      </c>
      <c r="AA3">
        <f>HYPERLINK("https://klasma.github.io/Logging_1460/tillsyn/A 34258-2023 tillsynsbegäran.docx", "A 34258-2023")</f>
        <v/>
      </c>
      <c r="AB3">
        <f>HYPERLINK("https://klasma.github.io/Logging_1460/tillsynsmail/A 34258-2023 tillsynsbegäran mail.docx", "A 34258-2023")</f>
        <v/>
      </c>
      <c r="AC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46221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V4">
        <f>HYPERLINK("https://klasma.github.io/Logging_1460/artfynd/A 7086-2025 artfynd.xlsx", "A 7086-2025")</f>
        <v/>
      </c>
      <c r="W4">
        <f>HYPERLINK("https://klasma.github.io/Logging_1460/kartor/A 7086-2025 karta.png", "A 7086-2025")</f>
        <v/>
      </c>
      <c r="Y4">
        <f>HYPERLINK("https://klasma.github.io/Logging_1460/klagomål/A 7086-2025 FSC-klagomål.docx", "A 7086-2025")</f>
        <v/>
      </c>
      <c r="Z4">
        <f>HYPERLINK("https://klasma.github.io/Logging_1460/klagomålsmail/A 7086-2025 FSC-klagomål mail.docx", "A 7086-2025")</f>
        <v/>
      </c>
      <c r="AA4">
        <f>HYPERLINK("https://klasma.github.io/Logging_1460/tillsyn/A 7086-2025 tillsynsbegäran.docx", "A 7086-2025")</f>
        <v/>
      </c>
      <c r="AB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46221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V5">
        <f>HYPERLINK("https://klasma.github.io/Logging_1460/artfynd/A 40237-2025 artfynd.xlsx", "A 40237-2025")</f>
        <v/>
      </c>
      <c r="W5">
        <f>HYPERLINK("https://klasma.github.io/Logging_1460/kartor/A 40237-2025 karta.png", "A 40237-2025")</f>
        <v/>
      </c>
      <c r="Y5">
        <f>HYPERLINK("https://klasma.github.io/Logging_1460/klagomål/A 40237-2025 FSC-klagomål.docx", "A 40237-2025")</f>
        <v/>
      </c>
      <c r="Z5">
        <f>HYPERLINK("https://klasma.github.io/Logging_1460/klagomålsmail/A 40237-2025 FSC-klagomål mail.docx", "A 40237-2025")</f>
        <v/>
      </c>
      <c r="AA5">
        <f>HYPERLINK("https://klasma.github.io/Logging_1460/tillsyn/A 40237-2025 tillsynsbegäran.docx", "A 40237-2025")</f>
        <v/>
      </c>
      <c r="AB5">
        <f>HYPERLINK("https://klasma.github.io/Logging_1460/tillsynsmail/A 40237-2025 tillsynsbegäran mail.docx", "A 40237-2025")</f>
        <v/>
      </c>
      <c r="AC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46221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V6">
        <f>HYPERLINK("https://klasma.github.io/Logging_1460/artfynd/A 11036-2025 artfynd.xlsx", "A 11036-2025")</f>
        <v/>
      </c>
      <c r="W6">
        <f>HYPERLINK("https://klasma.github.io/Logging_1460/kartor/A 11036-2025 karta.png", "A 11036-2025")</f>
        <v/>
      </c>
      <c r="Y6">
        <f>HYPERLINK("https://klasma.github.io/Logging_1460/klagomål/A 11036-2025 FSC-klagomål.docx", "A 11036-2025")</f>
        <v/>
      </c>
      <c r="Z6">
        <f>HYPERLINK("https://klasma.github.io/Logging_1460/klagomålsmail/A 11036-2025 FSC-klagomål mail.docx", "A 11036-2025")</f>
        <v/>
      </c>
      <c r="AA6">
        <f>HYPERLINK("https://klasma.github.io/Logging_1460/tillsyn/A 11036-2025 tillsynsbegäran.docx", "A 11036-2025")</f>
        <v/>
      </c>
      <c r="AB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46221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s="2" t="inlineStr">
        <is>
          <t>Talltita
Vedtrappmossa
Västlig hakmossa
Blåbär
Blåsippa
Fönsterlav
Grå renlav
Kransmossa
Linnea
Mattlummer
Spillkråka
Tjäder
Tofsmes
Revlummer</t>
        </is>
      </c>
      <c r="V7">
        <f>HYPERLINK("https://klasma.github.io/Logging_1460/artfynd/A 9465-2026 artfynd.xlsx", "A 9465-2026")</f>
        <v/>
      </c>
      <c r="W7">
        <f>HYPERLINK("https://klasma.github.io/Logging_1460/kartor/A 9465-2026 karta.png", "A 9465-2026")</f>
        <v/>
      </c>
      <c r="Y7">
        <f>HYPERLINK("https://klasma.github.io/Logging_1460/klagomål/A 9465-2026 FSC-klagomål.docx", "A 9465-2026")</f>
        <v/>
      </c>
      <c r="Z7">
        <f>HYPERLINK("https://klasma.github.io/Logging_1460/klagomålsmail/A 9465-2026 FSC-klagomål mail.docx", "A 9465-2026")</f>
        <v/>
      </c>
      <c r="AA7">
        <f>HYPERLINK("https://klasma.github.io/Logging_1460/tillsyn/A 9465-2026 tillsynsbegäran.docx", "A 9465-2026")</f>
        <v/>
      </c>
      <c r="AB7">
        <f>HYPERLINK("https://klasma.github.io/Logging_1460/tillsynsmail/A 9465-2026 tillsynsbegäran mail.docx", "A 9465-2026")</f>
        <v/>
      </c>
      <c r="AC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46221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s="2" t="inlineStr">
        <is>
          <t>Ask
Stor skogsbäckmossa
Drillsnäppa
Dunmossa
Blåsfliksmossa
Stubbspretmossa
Svart trolldruva
Blåsippa
Hultbräken
Kransmossa
Källgräsmossa
Skärmstarr
Vitsippa</t>
        </is>
      </c>
      <c r="V8">
        <f>HYPERLINK("https://klasma.github.io/Logging_1460/artfynd/A 23933-2026 artfynd.xlsx", "A 23933-2026")</f>
        <v/>
      </c>
      <c r="W8">
        <f>HYPERLINK("https://klasma.github.io/Logging_1460/kartor/A 23933-2026 karta.png", "A 23933-2026")</f>
        <v/>
      </c>
      <c r="Y8">
        <f>HYPERLINK("https://klasma.github.io/Logging_1460/klagomål/A 23933-2026 FSC-klagomål.docx", "A 23933-2026")</f>
        <v/>
      </c>
      <c r="Z8">
        <f>HYPERLINK("https://klasma.github.io/Logging_1460/klagomålsmail/A 23933-2026 FSC-klagomål mail.docx", "A 23933-2026")</f>
        <v/>
      </c>
      <c r="AA8">
        <f>HYPERLINK("https://klasma.github.io/Logging_1460/tillsyn/A 23933-2026 tillsynsbegäran.docx", "A 23933-2026")</f>
        <v/>
      </c>
      <c r="AB8">
        <f>HYPERLINK("https://klasma.github.io/Logging_1460/tillsynsmail/A 23933-2026 tillsynsbegäran mail.docx", "A 23933-2026")</f>
        <v/>
      </c>
      <c r="AC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46221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s="2" t="inlineStr">
        <is>
          <t>Dunmossa
Flikbålmossa
Platt spretmossa
Vedtrappmossa
Bågpraktmossa
Mörk husmossa
Skogshakmossa
Stor revmossa
Terpentinmossa
Vanlig rörsvepemossa
Mattlummer
Tjäder</t>
        </is>
      </c>
      <c r="V9">
        <f>HYPERLINK("https://klasma.github.io/Logging_1460/artfynd/A 13065-2026 artfynd.xlsx", "A 13065-2026")</f>
        <v/>
      </c>
      <c r="W9">
        <f>HYPERLINK("https://klasma.github.io/Logging_1460/kartor/A 13065-2026 karta.png", "A 13065-2026")</f>
        <v/>
      </c>
      <c r="Y9">
        <f>HYPERLINK("https://klasma.github.io/Logging_1460/klagomål/A 13065-2026 FSC-klagomål.docx", "A 13065-2026")</f>
        <v/>
      </c>
      <c r="Z9">
        <f>HYPERLINK("https://klasma.github.io/Logging_1460/klagomålsmail/A 13065-2026 FSC-klagomål mail.docx", "A 13065-2026")</f>
        <v/>
      </c>
      <c r="AA9">
        <f>HYPERLINK("https://klasma.github.io/Logging_1460/tillsyn/A 13065-2026 tillsynsbegäran.docx", "A 13065-2026")</f>
        <v/>
      </c>
      <c r="AB9">
        <f>HYPERLINK("https://klasma.github.io/Logging_1460/tillsynsmail/A 13065-2026 tillsynsbegäran mail.docx", "A 13065-2026")</f>
        <v/>
      </c>
      <c r="AC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46221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s="2" t="inlineStr">
        <is>
          <t>Dropptaggsvamp
Kolflarnlav
Kortskaftad ärgspik
Tallticka
Vedtrappmossa
Blåmossa
Bronshjon
Mindre märgborre
Rostfläck
Vedticka
Spillkråka
Tjäder</t>
        </is>
      </c>
      <c r="V10">
        <f>HYPERLINK("https://klasma.github.io/Logging_1460/artfynd/A 9166-2022 artfynd.xlsx", "A 9166-2022")</f>
        <v/>
      </c>
      <c r="W10">
        <f>HYPERLINK("https://klasma.github.io/Logging_1460/kartor/A 9166-2022 karta.png", "A 9166-2022")</f>
        <v/>
      </c>
      <c r="Y10">
        <f>HYPERLINK("https://klasma.github.io/Logging_1460/klagomål/A 9166-2022 FSC-klagomål.docx", "A 9166-2022")</f>
        <v/>
      </c>
      <c r="Z10">
        <f>HYPERLINK("https://klasma.github.io/Logging_1460/klagomålsmail/A 9166-2022 FSC-klagomål mail.docx", "A 9166-2022")</f>
        <v/>
      </c>
      <c r="AA10">
        <f>HYPERLINK("https://klasma.github.io/Logging_1460/tillsyn/A 9166-2022 tillsynsbegäran.docx", "A 9166-2022")</f>
        <v/>
      </c>
      <c r="AB10">
        <f>HYPERLINK("https://klasma.github.io/Logging_1460/tillsynsmail/A 9166-2022 tillsynsbegäran mail.docx", "A 9166-2022")</f>
        <v/>
      </c>
      <c r="AC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46221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s="2" t="inlineStr">
        <is>
          <t>Talltita
Västlig hakmossa
Blåbär
Blåsippa
Fönsterlav
Grå renlav
Kransmossa
Linnea
Spillkråka
Tofsmes
Kungsfågel
Revlummer</t>
        </is>
      </c>
      <c r="V11">
        <f>HYPERLINK("https://klasma.github.io/Logging_1460/artfynd/A 9460-2026 artfynd.xlsx", "A 9460-2026")</f>
        <v/>
      </c>
      <c r="W11">
        <f>HYPERLINK("https://klasma.github.io/Logging_1460/kartor/A 9460-2026 karta.png", "A 9460-2026")</f>
        <v/>
      </c>
      <c r="Y11">
        <f>HYPERLINK("https://klasma.github.io/Logging_1460/klagomål/A 9460-2026 FSC-klagomål.docx", "A 9460-2026")</f>
        <v/>
      </c>
      <c r="Z11">
        <f>HYPERLINK("https://klasma.github.io/Logging_1460/klagomålsmail/A 9460-2026 FSC-klagomål mail.docx", "A 9460-2026")</f>
        <v/>
      </c>
      <c r="AA11">
        <f>HYPERLINK("https://klasma.github.io/Logging_1460/tillsyn/A 9460-2026 tillsynsbegäran.docx", "A 9460-2026")</f>
        <v/>
      </c>
      <c r="AB11">
        <f>HYPERLINK("https://klasma.github.io/Logging_1460/tillsynsmail/A 9460-2026 tillsynsbegäran mail.docx", "A 9460-2026")</f>
        <v/>
      </c>
      <c r="AC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46221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s="2" t="inlineStr">
        <is>
          <t>Skogstrappmossa
Vedflikmossa
Vedtrappmossa
Blåsfliksmossa
Fällmossa
Guldlockmossa
Klippfrullania
Platt fjädermossa
Purpurmylia
Stor revmossa
Västlig hakmossa</t>
        </is>
      </c>
      <c r="V12">
        <f>HYPERLINK("https://klasma.github.io/Logging_1460/artfynd/A 49914-2021 artfynd.xlsx", "A 49914-2021")</f>
        <v/>
      </c>
      <c r="W12">
        <f>HYPERLINK("https://klasma.github.io/Logging_1460/kartor/A 49914-2021 karta.png", "A 49914-2021")</f>
        <v/>
      </c>
      <c r="Y12">
        <f>HYPERLINK("https://klasma.github.io/Logging_1460/klagomål/A 49914-2021 FSC-klagomål.docx", "A 49914-2021")</f>
        <v/>
      </c>
      <c r="Z12">
        <f>HYPERLINK("https://klasma.github.io/Logging_1460/klagomålsmail/A 49914-2021 FSC-klagomål mail.docx", "A 49914-2021")</f>
        <v/>
      </c>
      <c r="AA12">
        <f>HYPERLINK("https://klasma.github.io/Logging_1460/tillsyn/A 49914-2021 tillsynsbegäran.docx", "A 49914-2021")</f>
        <v/>
      </c>
      <c r="AB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46221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s="2" t="inlineStr">
        <is>
          <t>Pilgrimsfalk
Tornseglare
Duvhök
Ladusvala
Buskskvätta
Grönsiska
Trana
Törnskata
Ärtsångare</t>
        </is>
      </c>
      <c r="V13">
        <f>HYPERLINK("https://klasma.github.io/Logging_1460/artfynd/A 63067-2021 artfynd.xlsx", "A 63067-2021")</f>
        <v/>
      </c>
      <c r="W13">
        <f>HYPERLINK("https://klasma.github.io/Logging_1460/kartor/A 63067-2021 karta.png", "A 63067-2021")</f>
        <v/>
      </c>
      <c r="Y13">
        <f>HYPERLINK("https://klasma.github.io/Logging_1460/klagomål/A 63067-2021 FSC-klagomål.docx", "A 63067-2021")</f>
        <v/>
      </c>
      <c r="Z13">
        <f>HYPERLINK("https://klasma.github.io/Logging_1460/klagomålsmail/A 63067-2021 FSC-klagomål mail.docx", "A 63067-2021")</f>
        <v/>
      </c>
      <c r="AA13">
        <f>HYPERLINK("https://klasma.github.io/Logging_1460/tillsyn/A 63067-2021 tillsynsbegäran.docx", "A 63067-2021")</f>
        <v/>
      </c>
      <c r="AB13">
        <f>HYPERLINK("https://klasma.github.io/Logging_1460/tillsynsmail/A 63067-2021 tillsynsbegäran mail.docx", "A 63067-2021")</f>
        <v/>
      </c>
      <c r="AC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46221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s="2" t="inlineStr">
        <is>
          <t>Fjällig taggsvamp s.str.
Mindre hackspett
Talltita
Tretåig hackspett
Platt fjädermossa
Blåsippa
Spillkråka
Vanlig padda</t>
        </is>
      </c>
      <c r="V14">
        <f>HYPERLINK("https://klasma.github.io/Logging_1460/artfynd/A 44809-2021 artfynd.xlsx", "A 44809-2021")</f>
        <v/>
      </c>
      <c r="W14">
        <f>HYPERLINK("https://klasma.github.io/Logging_1460/kartor/A 44809-2021 karta.png", "A 44809-2021")</f>
        <v/>
      </c>
      <c r="Y14">
        <f>HYPERLINK("https://klasma.github.io/Logging_1460/klagomål/A 44809-2021 FSC-klagomål.docx", "A 44809-2021")</f>
        <v/>
      </c>
      <c r="Z14">
        <f>HYPERLINK("https://klasma.github.io/Logging_1460/klagomålsmail/A 44809-2021 FSC-klagomål mail.docx", "A 44809-2021")</f>
        <v/>
      </c>
      <c r="AA14">
        <f>HYPERLINK("https://klasma.github.io/Logging_1460/tillsyn/A 44809-2021 tillsynsbegäran.docx", "A 44809-2021")</f>
        <v/>
      </c>
      <c r="AB14">
        <f>HYPERLINK("https://klasma.github.io/Logging_1460/tillsynsmail/A 44809-2021 tillsynsbegäran mail.docx", "A 44809-2021")</f>
        <v/>
      </c>
      <c r="AC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46221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s="2" t="inlineStr">
        <is>
          <t>Blåsfliksmossa
Grov fjädermossa
Platt fjädermossa
Stenporella
Västlig hakmossa
Bandpraktmossa
Kransmossa
Krushättemossa</t>
        </is>
      </c>
      <c r="V15">
        <f>HYPERLINK("https://klasma.github.io/Logging_1460/artfynd/A 39996-2025 artfynd.xlsx", "A 39996-2025")</f>
        <v/>
      </c>
      <c r="W15">
        <f>HYPERLINK("https://klasma.github.io/Logging_1460/kartor/A 39996-2025 karta.png", "A 39996-2025")</f>
        <v/>
      </c>
      <c r="Y15">
        <f>HYPERLINK("https://klasma.github.io/Logging_1460/klagomål/A 39996-2025 FSC-klagomål.docx", "A 39996-2025")</f>
        <v/>
      </c>
      <c r="Z15">
        <f>HYPERLINK("https://klasma.github.io/Logging_1460/klagomålsmail/A 39996-2025 FSC-klagomål mail.docx", "A 39996-2025")</f>
        <v/>
      </c>
      <c r="AA15">
        <f>HYPERLINK("https://klasma.github.io/Logging_1460/tillsyn/A 39996-2025 tillsynsbegäran.docx", "A 39996-2025")</f>
        <v/>
      </c>
      <c r="AB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46221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s="2" t="inlineStr">
        <is>
          <t>Knärot
Kådvaxskinn
Mindre hackspett
Grön sköldmossa
Vedticka
Mattlummer
Spillkråka
Revlummer</t>
        </is>
      </c>
      <c r="V16">
        <f>HYPERLINK("https://klasma.github.io/Logging_1460/artfynd/A 13969-2024 artfynd.xlsx", "A 13969-2024")</f>
        <v/>
      </c>
      <c r="W16">
        <f>HYPERLINK("https://klasma.github.io/Logging_1460/kartor/A 13969-2024 karta.png", "A 13969-2024")</f>
        <v/>
      </c>
      <c r="X16">
        <f>HYPERLINK("https://klasma.github.io/Logging_1460/knärot/A 13969-2024 karta knärot.png", "A 13969-2024")</f>
        <v/>
      </c>
      <c r="Y16">
        <f>HYPERLINK("https://klasma.github.io/Logging_1460/klagomål/A 13969-2024 FSC-klagomål.docx", "A 13969-2024")</f>
        <v/>
      </c>
      <c r="Z16">
        <f>HYPERLINK("https://klasma.github.io/Logging_1460/klagomålsmail/A 13969-2024 FSC-klagomål mail.docx", "A 13969-2024")</f>
        <v/>
      </c>
      <c r="AA16">
        <f>HYPERLINK("https://klasma.github.io/Logging_1460/tillsyn/A 13969-2024 tillsynsbegäran.docx", "A 13969-2024")</f>
        <v/>
      </c>
      <c r="AB16">
        <f>HYPERLINK("https://klasma.github.io/Logging_1460/tillsynsmail/A 13969-2024 tillsynsbegäran mail.docx", "A 13969-2024")</f>
        <v/>
      </c>
      <c r="AC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46221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s="2" t="inlineStr">
        <is>
          <t>Knärot
Kattfotslav
Motaggsvamp
Vedtrappmossa
Spillkråka
Tjäder
Revlummer</t>
        </is>
      </c>
      <c r="V17">
        <f>HYPERLINK("https://klasma.github.io/Logging_1460/artfynd/A 273-2026 artfynd.xlsx", "A 273-2026")</f>
        <v/>
      </c>
      <c r="W17">
        <f>HYPERLINK("https://klasma.github.io/Logging_1460/kartor/A 273-2026 karta.png", "A 273-2026")</f>
        <v/>
      </c>
      <c r="X17">
        <f>HYPERLINK("https://klasma.github.io/Logging_1460/knärot/A 273-2026 karta knärot.png", "A 273-2026")</f>
        <v/>
      </c>
      <c r="Y17">
        <f>HYPERLINK("https://klasma.github.io/Logging_1460/klagomål/A 273-2026 FSC-klagomål.docx", "A 273-2026")</f>
        <v/>
      </c>
      <c r="Z17">
        <f>HYPERLINK("https://klasma.github.io/Logging_1460/klagomålsmail/A 273-2026 FSC-klagomål mail.docx", "A 273-2026")</f>
        <v/>
      </c>
      <c r="AA17">
        <f>HYPERLINK("https://klasma.github.io/Logging_1460/tillsyn/A 273-2026 tillsynsbegäran.docx", "A 273-2026")</f>
        <v/>
      </c>
      <c r="AB17">
        <f>HYPERLINK("https://klasma.github.io/Logging_1460/tillsynsmail/A 273-2026 tillsynsbegäran mail.docx", "A 273-2026")</f>
        <v/>
      </c>
      <c r="AC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46221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s="2" t="inlineStr">
        <is>
          <t>Kortskaftad ärgspik
Bronshjon
Grönpyrola
Klippfrullania
Platt fjädermossa
Rävticka
Vedticka</t>
        </is>
      </c>
      <c r="V18">
        <f>HYPERLINK("https://klasma.github.io/Logging_1460/artfynd/A 60679-2023 artfynd.xlsx", "A 60679-2023")</f>
        <v/>
      </c>
      <c r="W18">
        <f>HYPERLINK("https://klasma.github.io/Logging_1460/kartor/A 60679-2023 karta.png", "A 60679-2023")</f>
        <v/>
      </c>
      <c r="Y18">
        <f>HYPERLINK("https://klasma.github.io/Logging_1460/klagomål/A 60679-2023 FSC-klagomål.docx", "A 60679-2023")</f>
        <v/>
      </c>
      <c r="Z18">
        <f>HYPERLINK("https://klasma.github.io/Logging_1460/klagomålsmail/A 60679-2023 FSC-klagomål mail.docx", "A 60679-2023")</f>
        <v/>
      </c>
      <c r="AA18">
        <f>HYPERLINK("https://klasma.github.io/Logging_1460/tillsyn/A 60679-2023 tillsynsbegäran.docx", "A 60679-2023")</f>
        <v/>
      </c>
      <c r="AB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46221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s="2" t="inlineStr">
        <is>
          <t>Hällebräcka
Fjällig taggsvamp s.str.
Gultoppig fingersvamp
Diskvaxskivling
Svavelriska
Blåsippa</t>
        </is>
      </c>
      <c r="V19">
        <f>HYPERLINK("https://klasma.github.io/Logging_1460/artfynd/A 41407-2025 artfynd.xlsx", "A 41407-2025")</f>
        <v/>
      </c>
      <c r="W19">
        <f>HYPERLINK("https://klasma.github.io/Logging_1460/kartor/A 41407-2025 karta.png", "A 41407-2025")</f>
        <v/>
      </c>
      <c r="Y19">
        <f>HYPERLINK("https://klasma.github.io/Logging_1460/klagomål/A 41407-2025 FSC-klagomål.docx", "A 41407-2025")</f>
        <v/>
      </c>
      <c r="Z19">
        <f>HYPERLINK("https://klasma.github.io/Logging_1460/klagomålsmail/A 41407-2025 FSC-klagomål mail.docx", "A 41407-2025")</f>
        <v/>
      </c>
      <c r="AA19">
        <f>HYPERLINK("https://klasma.github.io/Logging_1460/tillsyn/A 41407-2025 tillsynsbegäran.docx", "A 41407-2025")</f>
        <v/>
      </c>
      <c r="AB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46221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s="2" t="inlineStr">
        <is>
          <t>Fällmossa
Grov fjädermossa
Platt fjädermossa
Stenporella
Ormbär
Sälg</t>
        </is>
      </c>
      <c r="V20">
        <f>HYPERLINK("https://klasma.github.io/Logging_1460/artfynd/A 16422-2023 artfynd.xlsx", "A 16422-2023")</f>
        <v/>
      </c>
      <c r="W20">
        <f>HYPERLINK("https://klasma.github.io/Logging_1460/kartor/A 16422-2023 karta.png", "A 16422-2023")</f>
        <v/>
      </c>
      <c r="Y20">
        <f>HYPERLINK("https://klasma.github.io/Logging_1460/klagomål/A 16422-2023 FSC-klagomål.docx", "A 16422-2023")</f>
        <v/>
      </c>
      <c r="Z20">
        <f>HYPERLINK("https://klasma.github.io/Logging_1460/klagomålsmail/A 16422-2023 FSC-klagomål mail.docx", "A 16422-2023")</f>
        <v/>
      </c>
      <c r="AA20">
        <f>HYPERLINK("https://klasma.github.io/Logging_1460/tillsyn/A 16422-2023 tillsynsbegäran.docx", "A 16422-2023")</f>
        <v/>
      </c>
      <c r="AB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46221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s="2" t="inlineStr">
        <is>
          <t>Knärot
Dropptaggsvamp
Motaggsvamp
Grönpyrola
Stor revmossa
Revlummer</t>
        </is>
      </c>
      <c r="V21">
        <f>HYPERLINK("https://klasma.github.io/Logging_1460/artfynd/A 51547-2023 artfynd.xlsx", "A 51547-2023")</f>
        <v/>
      </c>
      <c r="W21">
        <f>HYPERLINK("https://klasma.github.io/Logging_1460/kartor/A 51547-2023 karta.png", "A 51547-2023")</f>
        <v/>
      </c>
      <c r="X21">
        <f>HYPERLINK("https://klasma.github.io/Logging_1460/knärot/A 51547-2023 karta knärot.png", "A 51547-2023")</f>
        <v/>
      </c>
      <c r="Y21">
        <f>HYPERLINK("https://klasma.github.io/Logging_1460/klagomål/A 51547-2023 FSC-klagomål.docx", "A 51547-2023")</f>
        <v/>
      </c>
      <c r="Z21">
        <f>HYPERLINK("https://klasma.github.io/Logging_1460/klagomålsmail/A 51547-2023 FSC-klagomål mail.docx", "A 51547-2023")</f>
        <v/>
      </c>
      <c r="AA21">
        <f>HYPERLINK("https://klasma.github.io/Logging_1460/tillsyn/A 51547-2023 tillsynsbegäran.docx", "A 51547-2023")</f>
        <v/>
      </c>
      <c r="AB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46221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s="2" t="inlineStr">
        <is>
          <t>Jättemusseron
Dropptaggsvamp
Blomkålssvamp
Mindre märgborre
Vågbandad barkbock</t>
        </is>
      </c>
      <c r="V22">
        <f>HYPERLINK("https://klasma.github.io/Logging_1460/artfynd/A 25728-2024 artfynd.xlsx", "A 25728-2024")</f>
        <v/>
      </c>
      <c r="W22">
        <f>HYPERLINK("https://klasma.github.io/Logging_1460/kartor/A 25728-2024 karta.png", "A 25728-2024")</f>
        <v/>
      </c>
      <c r="Y22">
        <f>HYPERLINK("https://klasma.github.io/Logging_1460/klagomål/A 25728-2024 FSC-klagomål.docx", "A 25728-2024")</f>
        <v/>
      </c>
      <c r="Z22">
        <f>HYPERLINK("https://klasma.github.io/Logging_1460/klagomålsmail/A 25728-2024 FSC-klagomål mail.docx", "A 25728-2024")</f>
        <v/>
      </c>
      <c r="AA22">
        <f>HYPERLINK("https://klasma.github.io/Logging_1460/tillsyn/A 25728-2024 tillsynsbegäran.docx", "A 25728-2024")</f>
        <v/>
      </c>
      <c r="AB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46221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s="2" t="inlineStr">
        <is>
          <t>Talltita
Blåsippa
Kransmossa
Linnea
Spillkråka</t>
        </is>
      </c>
      <c r="V23">
        <f>HYPERLINK("https://klasma.github.io/Logging_1460/artfynd/A 35024-2025 artfynd.xlsx", "A 35024-2025")</f>
        <v/>
      </c>
      <c r="W23">
        <f>HYPERLINK("https://klasma.github.io/Logging_1460/kartor/A 35024-2025 karta.png", "A 35024-2025")</f>
        <v/>
      </c>
      <c r="Y23">
        <f>HYPERLINK("https://klasma.github.io/Logging_1460/klagomål/A 35024-2025 FSC-klagomål.docx", "A 35024-2025")</f>
        <v/>
      </c>
      <c r="Z23">
        <f>HYPERLINK("https://klasma.github.io/Logging_1460/klagomålsmail/A 35024-2025 FSC-klagomål mail.docx", "A 35024-2025")</f>
        <v/>
      </c>
      <c r="AA23">
        <f>HYPERLINK("https://klasma.github.io/Logging_1460/tillsyn/A 35024-2025 tillsynsbegäran.docx", "A 35024-2025")</f>
        <v/>
      </c>
      <c r="AB23">
        <f>HYPERLINK("https://klasma.github.io/Logging_1460/tillsynsmail/A 35024-2025 tillsynsbegäran mail.docx", "A 35024-2025")</f>
        <v/>
      </c>
      <c r="AC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46221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s="2" t="inlineStr">
        <is>
          <t>Garnlav
Doftskinn
Skogstrappmossa
Vedtrappmossa
Vedticka</t>
        </is>
      </c>
      <c r="V24">
        <f>HYPERLINK("https://klasma.github.io/Logging_1460/artfynd/A 13217-2026 artfynd.xlsx", "A 13217-2026")</f>
        <v/>
      </c>
      <c r="W24">
        <f>HYPERLINK("https://klasma.github.io/Logging_1460/kartor/A 13217-2026 karta.png", "A 13217-2026")</f>
        <v/>
      </c>
      <c r="Y24">
        <f>HYPERLINK("https://klasma.github.io/Logging_1460/klagomål/A 13217-2026 FSC-klagomål.docx", "A 13217-2026")</f>
        <v/>
      </c>
      <c r="Z24">
        <f>HYPERLINK("https://klasma.github.io/Logging_1460/klagomålsmail/A 13217-2026 FSC-klagomål mail.docx", "A 13217-2026")</f>
        <v/>
      </c>
      <c r="AA24">
        <f>HYPERLINK("https://klasma.github.io/Logging_1460/tillsyn/A 13217-2026 tillsynsbegäran.docx", "A 13217-2026")</f>
        <v/>
      </c>
      <c r="AB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46221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s="2" t="inlineStr">
        <is>
          <t>Lunglav
Svart askbastborre
Fällmossa
Grov baronmossa
Platt fjädermossa</t>
        </is>
      </c>
      <c r="V25">
        <f>HYPERLINK("https://klasma.github.io/Logging_1460/artfynd/A 15947-2024 artfynd.xlsx", "A 15947-2024")</f>
        <v/>
      </c>
      <c r="W25">
        <f>HYPERLINK("https://klasma.github.io/Logging_1460/kartor/A 15947-2024 karta.png", "A 15947-2024")</f>
        <v/>
      </c>
      <c r="Y25">
        <f>HYPERLINK("https://klasma.github.io/Logging_1460/klagomål/A 15947-2024 FSC-klagomål.docx", "A 15947-2024")</f>
        <v/>
      </c>
      <c r="Z25">
        <f>HYPERLINK("https://klasma.github.io/Logging_1460/klagomålsmail/A 15947-2024 FSC-klagomål mail.docx", "A 15947-2024")</f>
        <v/>
      </c>
      <c r="AA25">
        <f>HYPERLINK("https://klasma.github.io/Logging_1460/tillsyn/A 15947-2024 tillsynsbegäran.docx", "A 15947-2024")</f>
        <v/>
      </c>
      <c r="AB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46221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s="2" t="inlineStr">
        <is>
          <t>Stubbtrådmossa
Vedtrappmossa
Västlig hakmossa
Spillkråka
Tjäder</t>
        </is>
      </c>
      <c r="V26">
        <f>HYPERLINK("https://klasma.github.io/Logging_1460/artfynd/A 29215-2022 artfynd.xlsx", "A 29215-2022")</f>
        <v/>
      </c>
      <c r="W26">
        <f>HYPERLINK("https://klasma.github.io/Logging_1460/kartor/A 29215-2022 karta.png", "A 29215-2022")</f>
        <v/>
      </c>
      <c r="Y26">
        <f>HYPERLINK("https://klasma.github.io/Logging_1460/klagomål/A 29215-2022 FSC-klagomål.docx", "A 29215-2022")</f>
        <v/>
      </c>
      <c r="Z26">
        <f>HYPERLINK("https://klasma.github.io/Logging_1460/klagomålsmail/A 29215-2022 FSC-klagomål mail.docx", "A 29215-2022")</f>
        <v/>
      </c>
      <c r="AA26">
        <f>HYPERLINK("https://klasma.github.io/Logging_1460/tillsyn/A 29215-2022 tillsynsbegäran.docx", "A 29215-2022")</f>
        <v/>
      </c>
      <c r="AB26">
        <f>HYPERLINK("https://klasma.github.io/Logging_1460/tillsynsmail/A 29215-2022 tillsynsbegäran mail.docx", "A 29215-2022")</f>
        <v/>
      </c>
      <c r="AC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46221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s="2" t="inlineStr">
        <is>
          <t>Grönfink
Stare
Strandskata
Grönsiska</t>
        </is>
      </c>
      <c r="V27">
        <f>HYPERLINK("https://klasma.github.io/Logging_1460/artfynd/A 11443-2023 artfynd.xlsx", "A 11443-2023")</f>
        <v/>
      </c>
      <c r="W27">
        <f>HYPERLINK("https://klasma.github.io/Logging_1460/kartor/A 11443-2023 karta.png", "A 11443-2023")</f>
        <v/>
      </c>
      <c r="Y27">
        <f>HYPERLINK("https://klasma.github.io/Logging_1460/klagomål/A 11443-2023 FSC-klagomål.docx", "A 11443-2023")</f>
        <v/>
      </c>
      <c r="Z27">
        <f>HYPERLINK("https://klasma.github.io/Logging_1460/klagomålsmail/A 11443-2023 FSC-klagomål mail.docx", "A 11443-2023")</f>
        <v/>
      </c>
      <c r="AA27">
        <f>HYPERLINK("https://klasma.github.io/Logging_1460/tillsyn/A 11443-2023 tillsynsbegäran.docx", "A 11443-2023")</f>
        <v/>
      </c>
      <c r="AB27">
        <f>HYPERLINK("https://klasma.github.io/Logging_1460/tillsynsmail/A 11443-2023 tillsynsbegäran mail.docx", "A 11443-2023")</f>
        <v/>
      </c>
      <c r="AC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46221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s="2" t="inlineStr">
        <is>
          <t>Jungfrulin
Slåtterfibbla
Svinrot
Nattviol</t>
        </is>
      </c>
      <c r="V28">
        <f>HYPERLINK("https://klasma.github.io/Logging_1460/artfynd/A 32816-2023 artfynd.xlsx", "A 32816-2023")</f>
        <v/>
      </c>
      <c r="W28">
        <f>HYPERLINK("https://klasma.github.io/Logging_1460/kartor/A 32816-2023 karta.png", "A 32816-2023")</f>
        <v/>
      </c>
      <c r="Y28">
        <f>HYPERLINK("https://klasma.github.io/Logging_1460/klagomål/A 32816-2023 FSC-klagomål.docx", "A 32816-2023")</f>
        <v/>
      </c>
      <c r="Z28">
        <f>HYPERLINK("https://klasma.github.io/Logging_1460/klagomålsmail/A 32816-2023 FSC-klagomål mail.docx", "A 32816-2023")</f>
        <v/>
      </c>
      <c r="AA28">
        <f>HYPERLINK("https://klasma.github.io/Logging_1460/tillsyn/A 32816-2023 tillsynsbegäran.docx", "A 32816-2023")</f>
        <v/>
      </c>
      <c r="AB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46221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s="2" t="inlineStr">
        <is>
          <t>Nötkråka
Kambräken
Tallbit
Havsörn</t>
        </is>
      </c>
      <c r="V29">
        <f>HYPERLINK("https://klasma.github.io/Logging_1460/artfynd/A 8596-2022 artfynd.xlsx", "A 8596-2022")</f>
        <v/>
      </c>
      <c r="W29">
        <f>HYPERLINK("https://klasma.github.io/Logging_1460/kartor/A 8596-2022 karta.png", "A 8596-2022")</f>
        <v/>
      </c>
      <c r="Y29">
        <f>HYPERLINK("https://klasma.github.io/Logging_1460/klagomål/A 8596-2022 FSC-klagomål.docx", "A 8596-2022")</f>
        <v/>
      </c>
      <c r="Z29">
        <f>HYPERLINK("https://klasma.github.io/Logging_1460/klagomålsmail/A 8596-2022 FSC-klagomål mail.docx", "A 8596-2022")</f>
        <v/>
      </c>
      <c r="AA29">
        <f>HYPERLINK("https://klasma.github.io/Logging_1460/tillsyn/A 8596-2022 tillsynsbegäran.docx", "A 8596-2022")</f>
        <v/>
      </c>
      <c r="AB29">
        <f>HYPERLINK("https://klasma.github.io/Logging_1460/tillsynsmail/A 8596-2022 tillsynsbegäran mail.docx", "A 8596-2022")</f>
        <v/>
      </c>
      <c r="AC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46221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s="2" t="inlineStr">
        <is>
          <t>Ullticka
Blåmossa
Vedticka
Tjäder</t>
        </is>
      </c>
      <c r="V30">
        <f>HYPERLINK("https://klasma.github.io/Logging_1460/artfynd/A 3412-2024 artfynd.xlsx", "A 3412-2024")</f>
        <v/>
      </c>
      <c r="W30">
        <f>HYPERLINK("https://klasma.github.io/Logging_1460/kartor/A 3412-2024 karta.png", "A 3412-2024")</f>
        <v/>
      </c>
      <c r="Y30">
        <f>HYPERLINK("https://klasma.github.io/Logging_1460/klagomål/A 3412-2024 FSC-klagomål.docx", "A 3412-2024")</f>
        <v/>
      </c>
      <c r="Z30">
        <f>HYPERLINK("https://klasma.github.io/Logging_1460/klagomålsmail/A 3412-2024 FSC-klagomål mail.docx", "A 3412-2024")</f>
        <v/>
      </c>
      <c r="AA30">
        <f>HYPERLINK("https://klasma.github.io/Logging_1460/tillsyn/A 3412-2024 tillsynsbegäran.docx", "A 3412-2024")</f>
        <v/>
      </c>
      <c r="AB30">
        <f>HYPERLINK("https://klasma.github.io/Logging_1460/tillsynsmail/A 3412-2024 tillsynsbegäran mail.docx", "A 3412-2024")</f>
        <v/>
      </c>
      <c r="AC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46221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Talltita
Grönsiska
Kungsfågel</t>
        </is>
      </c>
      <c r="V31">
        <f>HYPERLINK("https://klasma.github.io/Logging_1460/artfynd/A 31015-2022 artfynd.xlsx", "A 31015-2022")</f>
        <v/>
      </c>
      <c r="W31">
        <f>HYPERLINK("https://klasma.github.io/Logging_1460/kartor/A 31015-2022 karta.png", "A 31015-2022")</f>
        <v/>
      </c>
      <c r="Y31">
        <f>HYPERLINK("https://klasma.github.io/Logging_1460/klagomål/A 31015-2022 FSC-klagomål.docx", "A 31015-2022")</f>
        <v/>
      </c>
      <c r="Z31">
        <f>HYPERLINK("https://klasma.github.io/Logging_1460/klagomålsmail/A 31015-2022 FSC-klagomål mail.docx", "A 31015-2022")</f>
        <v/>
      </c>
      <c r="AA31">
        <f>HYPERLINK("https://klasma.github.io/Logging_1460/tillsyn/A 31015-2022 tillsynsbegäran.docx", "A 31015-2022")</f>
        <v/>
      </c>
      <c r="AB31">
        <f>HYPERLINK("https://klasma.github.io/Logging_1460/tillsynsmail/A 31015-2022 tillsynsbegäran mail.docx", "A 31015-2022")</f>
        <v/>
      </c>
      <c r="AC31">
        <f>HYPERLINK("https://klasma.github.io/Logging_1460/fåglar/A 31015-2022 prioriterade fågelarter.docx", "A 31015-2022")</f>
        <v/>
      </c>
    </row>
    <row r="32" ht="15" customHeight="1">
      <c r="A32" t="inlineStr">
        <is>
          <t>A 10233-2026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46221</v>
      </c>
      <c r="F32" t="inlineStr">
        <is>
          <t>VÄSTRA GÖTALANDS LÄN</t>
        </is>
      </c>
      <c r="G32" t="inlineStr">
        <is>
          <t>BENGTSFORS</t>
        </is>
      </c>
      <c r="I32" t="n">
        <v>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s="2" t="inlineStr">
        <is>
          <t>Fällmossa
Guldlockmossa
Scytinium lichenoides s.lat.</t>
        </is>
      </c>
      <c r="V32">
        <f>HYPERLINK("https://klasma.github.io/Logging_1460/artfynd/A 10233-2026 artfynd.xlsx", "A 10233-2026")</f>
        <v/>
      </c>
      <c r="W32">
        <f>HYPERLINK("https://klasma.github.io/Logging_1460/kartor/A 10233-2026 karta.png", "A 10233-2026")</f>
        <v/>
      </c>
      <c r="Y32">
        <f>HYPERLINK("https://klasma.github.io/Logging_1460/klagomål/A 10233-2026 FSC-klagomål.docx", "A 10233-2026")</f>
        <v/>
      </c>
      <c r="Z32">
        <f>HYPERLINK("https://klasma.github.io/Logging_1460/klagomålsmail/A 10233-2026 FSC-klagomål mail.docx", "A 10233-2026")</f>
        <v/>
      </c>
      <c r="AA32">
        <f>HYPERLINK("https://klasma.github.io/Logging_1460/tillsyn/A 10233-2026 tillsynsbegäran.docx", "A 10233-2026")</f>
        <v/>
      </c>
      <c r="AB32">
        <f>HYPERLINK("https://klasma.github.io/Logging_1460/tillsynsmail/A 10233-2026 tillsynsbegäran mail.docx", "A 10233-2026")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46221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s="2" t="inlineStr">
        <is>
          <t>Lunglav
Vedticka
Blåsippa</t>
        </is>
      </c>
      <c r="V33">
        <f>HYPERLINK("https://klasma.github.io/Logging_1460/artfynd/A 61611-2022 artfynd.xlsx", "A 61611-2022")</f>
        <v/>
      </c>
      <c r="W33">
        <f>HYPERLINK("https://klasma.github.io/Logging_1460/kartor/A 61611-2022 karta.png", "A 61611-2022")</f>
        <v/>
      </c>
      <c r="Y33">
        <f>HYPERLINK("https://klasma.github.io/Logging_1460/klagomål/A 61611-2022 FSC-klagomål.docx", "A 61611-2022")</f>
        <v/>
      </c>
      <c r="Z33">
        <f>HYPERLINK("https://klasma.github.io/Logging_1460/klagomålsmail/A 61611-2022 FSC-klagomål mail.docx", "A 61611-2022")</f>
        <v/>
      </c>
      <c r="AA33">
        <f>HYPERLINK("https://klasma.github.io/Logging_1460/tillsyn/A 61611-2022 tillsynsbegäran.docx", "A 61611-2022")</f>
        <v/>
      </c>
      <c r="AB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46221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s="2" t="inlineStr">
        <is>
          <t>Kattfotslav
Grönpyrola
Vedticka</t>
        </is>
      </c>
      <c r="V34">
        <f>HYPERLINK("https://klasma.github.io/Logging_1460/artfynd/A 53197-2023 artfynd.xlsx", "A 53197-2023")</f>
        <v/>
      </c>
      <c r="W34">
        <f>HYPERLINK("https://klasma.github.io/Logging_1460/kartor/A 53197-2023 karta.png", "A 53197-2023")</f>
        <v/>
      </c>
      <c r="Y34">
        <f>HYPERLINK("https://klasma.github.io/Logging_1460/klagomål/A 53197-2023 FSC-klagomål.docx", "A 53197-2023")</f>
        <v/>
      </c>
      <c r="Z34">
        <f>HYPERLINK("https://klasma.github.io/Logging_1460/klagomålsmail/A 53197-2023 FSC-klagomål mail.docx", "A 53197-2023")</f>
        <v/>
      </c>
      <c r="AA34">
        <f>HYPERLINK("https://klasma.github.io/Logging_1460/tillsyn/A 53197-2023 tillsynsbegäran.docx", "A 53197-2023")</f>
        <v/>
      </c>
      <c r="AB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46221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s="2" t="inlineStr">
        <is>
          <t>Spillkråka
Grönsiska
Kungsfågel</t>
        </is>
      </c>
      <c r="V35">
        <f>HYPERLINK("https://klasma.github.io/Logging_1460/artfynd/A 1582-2022 artfynd.xlsx", "A 1582-2022")</f>
        <v/>
      </c>
      <c r="W35">
        <f>HYPERLINK("https://klasma.github.io/Logging_1460/kartor/A 1582-2022 karta.png", "A 1582-2022")</f>
        <v/>
      </c>
      <c r="Y35">
        <f>HYPERLINK("https://klasma.github.io/Logging_1460/klagomål/A 1582-2022 FSC-klagomål.docx", "A 1582-2022")</f>
        <v/>
      </c>
      <c r="Z35">
        <f>HYPERLINK("https://klasma.github.io/Logging_1460/klagomålsmail/A 1582-2022 FSC-klagomål mail.docx", "A 1582-2022")</f>
        <v/>
      </c>
      <c r="AA35">
        <f>HYPERLINK("https://klasma.github.io/Logging_1460/tillsyn/A 1582-2022 tillsynsbegäran.docx", "A 1582-2022")</f>
        <v/>
      </c>
      <c r="AB35">
        <f>HYPERLINK("https://klasma.github.io/Logging_1460/tillsynsmail/A 1582-2022 tillsynsbegäran mail.docx", "A 1582-2022")</f>
        <v/>
      </c>
      <c r="AC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46221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Grovticka
Svart trolldruva
Kungsfågel</t>
        </is>
      </c>
      <c r="V36">
        <f>HYPERLINK("https://klasma.github.io/Logging_1460/artfynd/A 15201-2025 artfynd.xlsx", "A 15201-2025")</f>
        <v/>
      </c>
      <c r="W36">
        <f>HYPERLINK("https://klasma.github.io/Logging_1460/kartor/A 15201-2025 karta.png", "A 15201-2025")</f>
        <v/>
      </c>
      <c r="Y36">
        <f>HYPERLINK("https://klasma.github.io/Logging_1460/klagomål/A 15201-2025 FSC-klagomål.docx", "A 15201-2025")</f>
        <v/>
      </c>
      <c r="Z36">
        <f>HYPERLINK("https://klasma.github.io/Logging_1460/klagomålsmail/A 15201-2025 FSC-klagomål mail.docx", "A 15201-2025")</f>
        <v/>
      </c>
      <c r="AA36">
        <f>HYPERLINK("https://klasma.github.io/Logging_1460/tillsyn/A 15201-2025 tillsynsbegäran.docx", "A 15201-2025")</f>
        <v/>
      </c>
      <c r="AB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46221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s="2" t="inlineStr">
        <is>
          <t>Dropptaggsvamp
Talltita
Tofsmes</t>
        </is>
      </c>
      <c r="V37">
        <f>HYPERLINK("https://klasma.github.io/Logging_1460/artfynd/A 29195-2026 artfynd.xlsx", "A 29195-2026")</f>
        <v/>
      </c>
      <c r="W37">
        <f>HYPERLINK("https://klasma.github.io/Logging_1460/kartor/A 29195-2026 karta.png", "A 29195-2026")</f>
        <v/>
      </c>
      <c r="Y37">
        <f>HYPERLINK("https://klasma.github.io/Logging_1460/klagomål/A 29195-2026 FSC-klagomål.docx", "A 29195-2026")</f>
        <v/>
      </c>
      <c r="Z37">
        <f>HYPERLINK("https://klasma.github.io/Logging_1460/klagomålsmail/A 29195-2026 FSC-klagomål mail.docx", "A 29195-2026")</f>
        <v/>
      </c>
      <c r="AA37">
        <f>HYPERLINK("https://klasma.github.io/Logging_1460/tillsyn/A 29195-2026 tillsynsbegäran.docx", "A 29195-2026")</f>
        <v/>
      </c>
      <c r="AB37">
        <f>HYPERLINK("https://klasma.github.io/Logging_1460/tillsynsmail/A 29195-2026 tillsynsbegäran mail.docx", "A 29195-2026")</f>
        <v/>
      </c>
      <c r="AC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46221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s="2" t="inlineStr">
        <is>
          <t>Skogsalm
Grov baronmossa
Platt fjädermossa</t>
        </is>
      </c>
      <c r="V38">
        <f>HYPERLINK("https://klasma.github.io/Logging_1460/artfynd/S 82-2025 artfynd.xlsx", "S 82-2025")</f>
        <v/>
      </c>
      <c r="W38">
        <f>HYPERLINK("https://klasma.github.io/Logging_1460/kartor/S 82-2025 karta.png", "S 82-2025")</f>
        <v/>
      </c>
      <c r="Y38">
        <f>HYPERLINK("https://klasma.github.io/Logging_1460/klagomål/S 82-2025 FSC-klagomål.docx", "S 82-2025")</f>
        <v/>
      </c>
      <c r="Z38">
        <f>HYPERLINK("https://klasma.github.io/Logging_1460/klagomålsmail/S 82-2025 FSC-klagomål mail.docx", "S 82-2025")</f>
        <v/>
      </c>
      <c r="AA38">
        <f>HYPERLINK("https://klasma.github.io/Logging_1460/tillsyn/S 82-2025 tillsynsbegäran.docx", "S 82-2025")</f>
        <v/>
      </c>
      <c r="AB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46221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Vedtrappmossa
Vanlig padda</t>
        </is>
      </c>
      <c r="V39">
        <f>HYPERLINK("https://klasma.github.io/Logging_1460/artfynd/A 29220-2022 artfynd.xlsx", "A 29220-2022")</f>
        <v/>
      </c>
      <c r="W39">
        <f>HYPERLINK("https://klasma.github.io/Logging_1460/kartor/A 29220-2022 karta.png", "A 29220-2022")</f>
        <v/>
      </c>
      <c r="Y39">
        <f>HYPERLINK("https://klasma.github.io/Logging_1460/klagomål/A 29220-2022 FSC-klagomål.docx", "A 29220-2022")</f>
        <v/>
      </c>
      <c r="Z39">
        <f>HYPERLINK("https://klasma.github.io/Logging_1460/klagomålsmail/A 29220-2022 FSC-klagomål mail.docx", "A 29220-2022")</f>
        <v/>
      </c>
      <c r="AA39">
        <f>HYPERLINK("https://klasma.github.io/Logging_1460/tillsyn/A 29220-2022 tillsynsbegäran.docx", "A 29220-2022")</f>
        <v/>
      </c>
      <c r="AB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46221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s="2" t="inlineStr">
        <is>
          <t>Dropptaggsvamp
Revlummer</t>
        </is>
      </c>
      <c r="V40">
        <f>HYPERLINK("https://klasma.github.io/Logging_1460/artfynd/A 49689-2023 artfynd.xlsx", "A 49689-2023")</f>
        <v/>
      </c>
      <c r="W40">
        <f>HYPERLINK("https://klasma.github.io/Logging_1460/kartor/A 49689-2023 karta.png", "A 49689-2023")</f>
        <v/>
      </c>
      <c r="Y40">
        <f>HYPERLINK("https://klasma.github.io/Logging_1460/klagomål/A 49689-2023 FSC-klagomål.docx", "A 49689-2023")</f>
        <v/>
      </c>
      <c r="Z40">
        <f>HYPERLINK("https://klasma.github.io/Logging_1460/klagomålsmail/A 49689-2023 FSC-klagomål mail.docx", "A 49689-2023")</f>
        <v/>
      </c>
      <c r="AA40">
        <f>HYPERLINK("https://klasma.github.io/Logging_1460/tillsyn/A 49689-2023 tillsynsbegäran.docx", "A 49689-2023")</f>
        <v/>
      </c>
      <c r="AB40">
        <f>HYPERLINK("https://klasma.github.io/Logging_1460/tillsynsmail/A 49689-2023 tillsynsbegäran mail.docx", "A 49689-2023")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46221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Skogsklocka
Svinrot</t>
        </is>
      </c>
      <c r="V41">
        <f>HYPERLINK("https://klasma.github.io/Logging_1460/artfynd/A 35280-2025 artfynd.xlsx", "A 35280-2025")</f>
        <v/>
      </c>
      <c r="W41">
        <f>HYPERLINK("https://klasma.github.io/Logging_1460/kartor/A 35280-2025 karta.png", "A 35280-2025")</f>
        <v/>
      </c>
      <c r="Y41">
        <f>HYPERLINK("https://klasma.github.io/Logging_1460/klagomål/A 35280-2025 FSC-klagomål.docx", "A 35280-2025")</f>
        <v/>
      </c>
      <c r="Z41">
        <f>HYPERLINK("https://klasma.github.io/Logging_1460/klagomålsmail/A 35280-2025 FSC-klagomål mail.docx", "A 35280-2025")</f>
        <v/>
      </c>
      <c r="AA41">
        <f>HYPERLINK("https://klasma.github.io/Logging_1460/tillsyn/A 35280-2025 tillsynsbegäran.docx", "A 35280-2025")</f>
        <v/>
      </c>
      <c r="AB41">
        <f>HYPERLINK("https://klasma.github.io/Logging_1460/tillsynsmail/A 35280-2025 tillsynsbegäran mail.docx", "A 35280-2025")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46221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s="2" t="inlineStr">
        <is>
          <t>Rödvingetrast
Vanlig groda</t>
        </is>
      </c>
      <c r="V42">
        <f>HYPERLINK("https://klasma.github.io/Logging_1460/artfynd/A 12076-2023 artfynd.xlsx", "A 12076-2023")</f>
        <v/>
      </c>
      <c r="W42">
        <f>HYPERLINK("https://klasma.github.io/Logging_1460/kartor/A 12076-2023 karta.png", "A 12076-2023")</f>
        <v/>
      </c>
      <c r="Y42">
        <f>HYPERLINK("https://klasma.github.io/Logging_1460/klagomål/A 12076-2023 FSC-klagomål.docx", "A 12076-2023")</f>
        <v/>
      </c>
      <c r="Z42">
        <f>HYPERLINK("https://klasma.github.io/Logging_1460/klagomålsmail/A 12076-2023 FSC-klagomål mail.docx", "A 12076-2023")</f>
        <v/>
      </c>
      <c r="AA42">
        <f>HYPERLINK("https://klasma.github.io/Logging_1460/tillsyn/A 12076-2023 tillsynsbegäran.docx", "A 12076-2023")</f>
        <v/>
      </c>
      <c r="AB42">
        <f>HYPERLINK("https://klasma.github.io/Logging_1460/tillsynsmail/A 12076-2023 tillsynsbegäran mail.docx", "A 12076-2023")</f>
        <v/>
      </c>
      <c r="AC42">
        <f>HYPERLINK("https://klasma.github.io/Logging_1460/fåglar/A 12076-2023 prioriterade fågelarter.docx", "A 12076-2023")</f>
        <v/>
      </c>
    </row>
    <row r="43" ht="15" customHeight="1">
      <c r="A43" t="inlineStr">
        <is>
          <t>A 8223-2026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46221</v>
      </c>
      <c r="F43" t="inlineStr">
        <is>
          <t>VÄSTRA GÖTALANDS LÄN</t>
        </is>
      </c>
      <c r="G43" t="inlineStr">
        <is>
          <t>BENGTSFORS</t>
        </is>
      </c>
      <c r="H43" t="inlineStr">
        <is>
          <t>Kyrkan</t>
        </is>
      </c>
      <c r="I43" t="n">
        <v>8.199999999999999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s="2" t="inlineStr">
        <is>
          <t>Brunfläckig pärlemorfjäril
Mindre tåtelsmygare</t>
        </is>
      </c>
      <c r="V43">
        <f>HYPERLINK("https://klasma.github.io/Logging_1460/artfynd/A 8223-2026 artfynd.xlsx", "A 8223-2026")</f>
        <v/>
      </c>
      <c r="W43">
        <f>HYPERLINK("https://klasma.github.io/Logging_1460/kartor/A 8223-2026 karta.png", "A 8223-2026")</f>
        <v/>
      </c>
      <c r="Y43">
        <f>HYPERLINK("https://klasma.github.io/Logging_1460/klagomål/A 8223-2026 FSC-klagomål.docx", "A 8223-2026")</f>
        <v/>
      </c>
      <c r="Z43">
        <f>HYPERLINK("https://klasma.github.io/Logging_1460/klagomålsmail/A 8223-2026 FSC-klagomål mail.docx", "A 8223-2026")</f>
        <v/>
      </c>
      <c r="AA43">
        <f>HYPERLINK("https://klasma.github.io/Logging_1460/tillsyn/A 8223-2026 tillsynsbegäran.docx", "A 8223-2026")</f>
        <v/>
      </c>
      <c r="AB43">
        <f>HYPERLINK("https://klasma.github.io/Logging_1460/tillsynsmail/A 8223-2026 tillsynsbegäran mail.docx", "A 8223-2026")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46221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s="2" t="inlineStr">
        <is>
          <t>Slåttergubbe
Grönvit nattviol</t>
        </is>
      </c>
      <c r="V44">
        <f>HYPERLINK("https://klasma.github.io/Logging_1460/artfynd/A 24681-2024 artfynd.xlsx", "A 24681-2024")</f>
        <v/>
      </c>
      <c r="W44">
        <f>HYPERLINK("https://klasma.github.io/Logging_1460/kartor/A 24681-2024 karta.png", "A 24681-2024")</f>
        <v/>
      </c>
      <c r="Y44">
        <f>HYPERLINK("https://klasma.github.io/Logging_1460/klagomål/A 24681-2024 FSC-klagomål.docx", "A 24681-2024")</f>
        <v/>
      </c>
      <c r="Z44">
        <f>HYPERLINK("https://klasma.github.io/Logging_1460/klagomålsmail/A 24681-2024 FSC-klagomål mail.docx", "A 24681-2024")</f>
        <v/>
      </c>
      <c r="AA44">
        <f>HYPERLINK("https://klasma.github.io/Logging_1460/tillsyn/A 24681-2024 tillsynsbegäran.docx", "A 24681-2024")</f>
        <v/>
      </c>
      <c r="AB44">
        <f>HYPERLINK("https://klasma.github.io/Logging_1460/tillsynsmail/A 24681-2024 tillsynsbegäran mail.docx", "A 24681-2024")</f>
        <v/>
      </c>
    </row>
    <row r="45" ht="15" customHeight="1">
      <c r="A45" t="inlineStr">
        <is>
          <t>A 29178-2026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46221</v>
      </c>
      <c r="F45" t="inlineStr">
        <is>
          <t>VÄSTRA GÖTALANDS LÄN</t>
        </is>
      </c>
      <c r="G45" t="inlineStr">
        <is>
          <t>BENGTSFORS</t>
        </is>
      </c>
      <c r="I45" t="n">
        <v>15.7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6</v>
      </c>
      <c r="U45" s="2" t="inlineStr">
        <is>
          <t>Dropptaggsvamp
Tofsmes</t>
        </is>
      </c>
      <c r="V45">
        <f>HYPERLINK("https://klasma.github.io/Logging_1460/artfynd/A 29178-2026 artfynd.xlsx", "A 29178-2026")</f>
        <v/>
      </c>
      <c r="W45">
        <f>HYPERLINK("https://klasma.github.io/Logging_1460/kartor/A 29178-2026 karta.png", "A 29178-2026")</f>
        <v/>
      </c>
      <c r="Y45">
        <f>HYPERLINK("https://klasma.github.io/Logging_1460/klagomål/A 29178-2026 FSC-klagomål.docx", "A 29178-2026")</f>
        <v/>
      </c>
      <c r="Z45">
        <f>HYPERLINK("https://klasma.github.io/Logging_1460/klagomålsmail/A 29178-2026 FSC-klagomål mail.docx", "A 29178-2026")</f>
        <v/>
      </c>
      <c r="AA45">
        <f>HYPERLINK("https://klasma.github.io/Logging_1460/tillsyn/A 29178-2026 tillsynsbegäran.docx", "A 29178-2026")</f>
        <v/>
      </c>
      <c r="AB45">
        <f>HYPERLINK("https://klasma.github.io/Logging_1460/tillsynsmail/A 29178-2026 tillsynsbegäran mail.docx", "A 29178-2026")</f>
        <v/>
      </c>
    </row>
    <row r="46" ht="15" customHeight="1">
      <c r="A46" t="inlineStr">
        <is>
          <t>A 15556-2024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46221</v>
      </c>
      <c r="F46" t="inlineStr">
        <is>
          <t>VÄSTRA GÖTALANDS LÄN</t>
        </is>
      </c>
      <c r="G46" t="inlineStr">
        <is>
          <t>BENGTSFORS</t>
        </is>
      </c>
      <c r="I46" t="n">
        <v>2.7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s="2" t="inlineStr">
        <is>
          <t>Slåttergubbe
Grönvit nattviol</t>
        </is>
      </c>
      <c r="V46">
        <f>HYPERLINK("https://klasma.github.io/Logging_1460/artfynd/A 15556-2024 artfynd.xlsx", "A 15556-2024")</f>
        <v/>
      </c>
      <c r="W46">
        <f>HYPERLINK("https://klasma.github.io/Logging_1460/kartor/A 15556-2024 karta.png", "A 15556-2024")</f>
        <v/>
      </c>
      <c r="Y46">
        <f>HYPERLINK("https://klasma.github.io/Logging_1460/klagomål/A 15556-2024 FSC-klagomål.docx", "A 15556-2024")</f>
        <v/>
      </c>
      <c r="Z46">
        <f>HYPERLINK("https://klasma.github.io/Logging_1460/klagomålsmail/A 15556-2024 FSC-klagomål mail.docx", "A 15556-2024")</f>
        <v/>
      </c>
      <c r="AA46">
        <f>HYPERLINK("https://klasma.github.io/Logging_1460/tillsyn/A 15556-2024 tillsynsbegäran.docx", "A 15556-2024")</f>
        <v/>
      </c>
      <c r="AB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46221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Bårdlav
Vedticka</t>
        </is>
      </c>
      <c r="V47">
        <f>HYPERLINK("https://klasma.github.io/Logging_1460/artfynd/A 13810-2022 artfynd.xlsx", "A 13810-2022")</f>
        <v/>
      </c>
      <c r="W47">
        <f>HYPERLINK("https://klasma.github.io/Logging_1460/kartor/A 13810-2022 karta.png", "A 13810-2022")</f>
        <v/>
      </c>
      <c r="Y47">
        <f>HYPERLINK("https://klasma.github.io/Logging_1460/klagomål/A 13810-2022 FSC-klagomål.docx", "A 13810-2022")</f>
        <v/>
      </c>
      <c r="Z47">
        <f>HYPERLINK("https://klasma.github.io/Logging_1460/klagomålsmail/A 13810-2022 FSC-klagomål mail.docx", "A 13810-2022")</f>
        <v/>
      </c>
      <c r="AA47">
        <f>HYPERLINK("https://klasma.github.io/Logging_1460/tillsyn/A 13810-2022 tillsynsbegäran.docx", "A 13810-2022")</f>
        <v/>
      </c>
      <c r="AB47">
        <f>HYPERLINK("https://klasma.github.io/Logging_1460/tillsynsmail/A 13810-2022 tillsynsbegäran mail.docx", "A 13810-2022")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46221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HYPERLINK("https://klasma.github.io/Logging_1460/artfynd/A 1577-2022 artfynd.xlsx", "A 1577-2022")</f>
        <v/>
      </c>
      <c r="W48">
        <f>HYPERLINK("https://klasma.github.io/Logging_1460/kartor/A 1577-2022 karta.png", "A 1577-2022")</f>
        <v/>
      </c>
      <c r="Y48">
        <f>HYPERLINK("https://klasma.github.io/Logging_1460/klagomål/A 1577-2022 FSC-klagomål.docx", "A 1577-2022")</f>
        <v/>
      </c>
      <c r="Z48">
        <f>HYPERLINK("https://klasma.github.io/Logging_1460/klagomålsmail/A 1577-2022 FSC-klagomål mail.docx", "A 1577-2022")</f>
        <v/>
      </c>
      <c r="AA48">
        <f>HYPERLINK("https://klasma.github.io/Logging_1460/tillsyn/A 1577-2022 tillsynsbegäran.docx", "A 1577-2022")</f>
        <v/>
      </c>
      <c r="AB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46221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Grönpyrola</t>
        </is>
      </c>
      <c r="V49">
        <f>HYPERLINK("https://klasma.github.io/Logging_1460/artfynd/A 63729-2021 artfynd.xlsx", "A 63729-2021")</f>
        <v/>
      </c>
      <c r="W49">
        <f>HYPERLINK("https://klasma.github.io/Logging_1460/kartor/A 63729-2021 karta.png", "A 63729-2021")</f>
        <v/>
      </c>
      <c r="Y49">
        <f>HYPERLINK("https://klasma.github.io/Logging_1460/klagomål/A 63729-2021 FSC-klagomål.docx", "A 63729-2021")</f>
        <v/>
      </c>
      <c r="Z49">
        <f>HYPERLINK("https://klasma.github.io/Logging_1460/klagomålsmail/A 63729-2021 FSC-klagomål mail.docx", "A 63729-2021")</f>
        <v/>
      </c>
      <c r="AA49">
        <f>HYPERLINK("https://klasma.github.io/Logging_1460/tillsyn/A 63729-2021 tillsynsbegäran.docx", "A 63729-2021")</f>
        <v/>
      </c>
      <c r="AB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46221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HYPERLINK("https://klasma.github.io/Logging_1460/artfynd/A 42213-2022 artfynd.xlsx", "A 42213-2022")</f>
        <v/>
      </c>
      <c r="W50">
        <f>HYPERLINK("https://klasma.github.io/Logging_1460/kartor/A 42213-2022 karta.png", "A 42213-2022")</f>
        <v/>
      </c>
      <c r="Y50">
        <f>HYPERLINK("https://klasma.github.io/Logging_1460/klagomål/A 42213-2022 FSC-klagomål.docx", "A 42213-2022")</f>
        <v/>
      </c>
      <c r="Z50">
        <f>HYPERLINK("https://klasma.github.io/Logging_1460/klagomålsmail/A 42213-2022 FSC-klagomål mail.docx", "A 42213-2022")</f>
        <v/>
      </c>
      <c r="AA50">
        <f>HYPERLINK("https://klasma.github.io/Logging_1460/tillsyn/A 42213-2022 tillsynsbegäran.docx", "A 42213-2022")</f>
        <v/>
      </c>
      <c r="AB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46221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s="2" t="inlineStr">
        <is>
          <t>Stor skogsbäckmossa</t>
        </is>
      </c>
      <c r="V51">
        <f>HYPERLINK("https://klasma.github.io/Logging_1460/artfynd/A 53606-2023 artfynd.xlsx", "A 53606-2023")</f>
        <v/>
      </c>
      <c r="W51">
        <f>HYPERLINK("https://klasma.github.io/Logging_1460/kartor/A 53606-2023 karta.png", "A 53606-2023")</f>
        <v/>
      </c>
      <c r="Y51">
        <f>HYPERLINK("https://klasma.github.io/Logging_1460/klagomål/A 53606-2023 FSC-klagomål.docx", "A 53606-2023")</f>
        <v/>
      </c>
      <c r="Z51">
        <f>HYPERLINK("https://klasma.github.io/Logging_1460/klagomålsmail/A 53606-2023 FSC-klagomål mail.docx", "A 53606-2023")</f>
        <v/>
      </c>
      <c r="AA51">
        <f>HYPERLINK("https://klasma.github.io/Logging_1460/tillsyn/A 53606-2023 tillsynsbegäran.docx", "A 53606-2023")</f>
        <v/>
      </c>
      <c r="AB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46221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Knärot</t>
        </is>
      </c>
      <c r="V52">
        <f>HYPERLINK("https://klasma.github.io/Logging_1460/artfynd/A 18086-2024 artfynd.xlsx", "A 18086-2024")</f>
        <v/>
      </c>
      <c r="W52">
        <f>HYPERLINK("https://klasma.github.io/Logging_1460/kartor/A 18086-2024 karta.png", "A 18086-2024")</f>
        <v/>
      </c>
      <c r="X52">
        <f>HYPERLINK("https://klasma.github.io/Logging_1460/knärot/A 18086-2024 karta knärot.png", "A 18086-2024")</f>
        <v/>
      </c>
      <c r="Y52">
        <f>HYPERLINK("https://klasma.github.io/Logging_1460/klagomål/A 18086-2024 FSC-klagomål.docx", "A 18086-2024")</f>
        <v/>
      </c>
      <c r="Z52">
        <f>HYPERLINK("https://klasma.github.io/Logging_1460/klagomålsmail/A 18086-2024 FSC-klagomål mail.docx", "A 18086-2024")</f>
        <v/>
      </c>
      <c r="AA52">
        <f>HYPERLINK("https://klasma.github.io/Logging_1460/tillsyn/A 18086-2024 tillsynsbegäran.docx", "A 18086-2024")</f>
        <v/>
      </c>
      <c r="AB52">
        <f>HYPERLINK("https://klasma.github.io/Logging_1460/tillsynsmail/A 18086-2024 tillsynsbegäran mail.docx", "A 18086-2024")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46221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s="2" t="inlineStr">
        <is>
          <t>Blåsippa</t>
        </is>
      </c>
      <c r="V53">
        <f>HYPERLINK("https://klasma.github.io/Logging_1460/artfynd/A 5095-2024 artfynd.xlsx", "A 5095-2024")</f>
        <v/>
      </c>
      <c r="W53">
        <f>HYPERLINK("https://klasma.github.io/Logging_1460/kartor/A 5095-2024 karta.png", "A 5095-2024")</f>
        <v/>
      </c>
      <c r="Y53">
        <f>HYPERLINK("https://klasma.github.io/Logging_1460/klagomål/A 5095-2024 FSC-klagomål.docx", "A 5095-2024")</f>
        <v/>
      </c>
      <c r="Z53">
        <f>HYPERLINK("https://klasma.github.io/Logging_1460/klagomålsmail/A 5095-2024 FSC-klagomål mail.docx", "A 5095-2024")</f>
        <v/>
      </c>
      <c r="AA53">
        <f>HYPERLINK("https://klasma.github.io/Logging_1460/tillsyn/A 5095-2024 tillsynsbegäran.docx", "A 5095-2024")</f>
        <v/>
      </c>
      <c r="AB53">
        <f>HYPERLINK("https://klasma.github.io/Logging_1460/tillsynsmail/A 5095-2024 tillsynsbegäran mail.docx", "A 5095-2024")</f>
        <v/>
      </c>
    </row>
    <row r="54" ht="15" customHeight="1">
      <c r="A54" t="inlineStr">
        <is>
          <t>A 29828-2025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46221</v>
      </c>
      <c r="F54" t="inlineStr">
        <is>
          <t>VÄSTRA GÖTALANDS LÄN</t>
        </is>
      </c>
      <c r="G54" t="inlineStr">
        <is>
          <t>BENGTSFORS</t>
        </is>
      </c>
      <c r="I54" t="n">
        <v>8.800000000000001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Stor revmossa</t>
        </is>
      </c>
      <c r="V54">
        <f>HYPERLINK("https://klasma.github.io/Logging_1460/artfynd/A 29828-2025 artfynd.xlsx", "A 29828-2025")</f>
        <v/>
      </c>
      <c r="W54">
        <f>HYPERLINK("https://klasma.github.io/Logging_1460/kartor/A 29828-2025 karta.png", "A 29828-2025")</f>
        <v/>
      </c>
      <c r="Y54">
        <f>HYPERLINK("https://klasma.github.io/Logging_1460/klagomål/A 29828-2025 FSC-klagomål.docx", "A 29828-2025")</f>
        <v/>
      </c>
      <c r="Z54">
        <f>HYPERLINK("https://klasma.github.io/Logging_1460/klagomålsmail/A 29828-2025 FSC-klagomål mail.docx", "A 29828-2025")</f>
        <v/>
      </c>
      <c r="AA54">
        <f>HYPERLINK("https://klasma.github.io/Logging_1460/tillsyn/A 29828-2025 tillsynsbegäran.docx", "A 29828-2025")</f>
        <v/>
      </c>
      <c r="AB54">
        <f>HYPERLINK("https://klasma.github.io/Logging_1460/tillsynsmail/A 29828-2025 tillsynsbegäran mail.docx", "A 29828-2025")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46221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Revlummer</t>
        </is>
      </c>
      <c r="V55">
        <f>HYPERLINK("https://klasma.github.io/Logging_1460/artfynd/A 41538-2025 artfynd.xlsx", "A 41538-2025")</f>
        <v/>
      </c>
      <c r="W55">
        <f>HYPERLINK("https://klasma.github.io/Logging_1460/kartor/A 41538-2025 karta.png", "A 41538-2025")</f>
        <v/>
      </c>
      <c r="Y55">
        <f>HYPERLINK("https://klasma.github.io/Logging_1460/klagomål/A 41538-2025 FSC-klagomål.docx", "A 41538-2025")</f>
        <v/>
      </c>
      <c r="Z55">
        <f>HYPERLINK("https://klasma.github.io/Logging_1460/klagomålsmail/A 41538-2025 FSC-klagomål mail.docx", "A 41538-2025")</f>
        <v/>
      </c>
      <c r="AA55">
        <f>HYPERLINK("https://klasma.github.io/Logging_1460/tillsyn/A 41538-2025 tillsynsbegäran.docx", "A 41538-2025")</f>
        <v/>
      </c>
      <c r="AB55">
        <f>HYPERLINK("https://klasma.github.io/Logging_1460/tillsynsmail/A 41538-2025 tillsynsbegäran mail.docx", "A 41538-2025")</f>
        <v/>
      </c>
    </row>
    <row r="56" ht="15" customHeight="1">
      <c r="A56" t="inlineStr">
        <is>
          <t>A 21300-2023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45062</v>
      </c>
      <c r="E56" s="1" t="n">
        <v>46221</v>
      </c>
      <c r="F56" t="inlineStr">
        <is>
          <t>VÄSTRA GÖTALANDS LÄN</t>
        </is>
      </c>
      <c r="G56" t="inlineStr">
        <is>
          <t>BENGTSFORS</t>
        </is>
      </c>
      <c r="I56" t="n">
        <v>2.3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Blåsippa</t>
        </is>
      </c>
      <c r="V56">
        <f>HYPERLINK("https://klasma.github.io/Logging_1460/artfynd/A 21300-2023 artfynd.xlsx", "A 21300-2023")</f>
        <v/>
      </c>
      <c r="W56">
        <f>HYPERLINK("https://klasma.github.io/Logging_1460/kartor/A 21300-2023 karta.png", "A 21300-2023")</f>
        <v/>
      </c>
      <c r="Y56">
        <f>HYPERLINK("https://klasma.github.io/Logging_1460/klagomål/A 21300-2023 FSC-klagomål.docx", "A 21300-2023")</f>
        <v/>
      </c>
      <c r="Z56">
        <f>HYPERLINK("https://klasma.github.io/Logging_1460/klagomålsmail/A 21300-2023 FSC-klagomål mail.docx", "A 21300-2023")</f>
        <v/>
      </c>
      <c r="AA56">
        <f>HYPERLINK("https://klasma.github.io/Logging_1460/tillsyn/A 21300-2023 tillsynsbegäran.docx", "A 21300-2023")</f>
        <v/>
      </c>
      <c r="AB56">
        <f>HYPERLINK("https://klasma.github.io/Logging_1460/tillsynsmail/A 21300-2023 tillsynsbegäran mail.docx", "A 21300-2023")</f>
        <v/>
      </c>
    </row>
    <row r="57" ht="15" customHeight="1">
      <c r="A57" t="inlineStr">
        <is>
          <t>A 33930-2025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46221</v>
      </c>
      <c r="F57" t="inlineStr">
        <is>
          <t>VÄSTRA GÖTALANDS LÄN</t>
        </is>
      </c>
      <c r="G57" t="inlineStr">
        <is>
          <t>BENGTSFORS</t>
        </is>
      </c>
      <c r="I57" t="n">
        <v>6.1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s="2" t="inlineStr">
        <is>
          <t>Revlummer</t>
        </is>
      </c>
      <c r="V57">
        <f>HYPERLINK("https://klasma.github.io/Logging_1460/artfynd/A 33930-2025 artfynd.xlsx", "A 33930-2025")</f>
        <v/>
      </c>
      <c r="W57">
        <f>HYPERLINK("https://klasma.github.io/Logging_1460/kartor/A 33930-2025 karta.png", "A 33930-2025")</f>
        <v/>
      </c>
      <c r="Y57">
        <f>HYPERLINK("https://klasma.github.io/Logging_1460/klagomål/A 33930-2025 FSC-klagomål.docx", "A 33930-2025")</f>
        <v/>
      </c>
      <c r="Z57">
        <f>HYPERLINK("https://klasma.github.io/Logging_1460/klagomålsmail/A 33930-2025 FSC-klagomål mail.docx", "A 33930-2025")</f>
        <v/>
      </c>
      <c r="AA57">
        <f>HYPERLINK("https://klasma.github.io/Logging_1460/tillsyn/A 33930-2025 tillsynsbegäran.docx", "A 33930-2025")</f>
        <v/>
      </c>
      <c r="AB57">
        <f>HYPERLINK("https://klasma.github.io/Logging_1460/tillsynsmail/A 33930-2025 tillsynsbegäran mail.docx", "A 33930-2025")</f>
        <v/>
      </c>
    </row>
    <row r="58" ht="15" customHeight="1">
      <c r="A58" t="inlineStr">
        <is>
          <t>A 7682-2025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45706</v>
      </c>
      <c r="E58" s="1" t="n">
        <v>46221</v>
      </c>
      <c r="F58" t="inlineStr">
        <is>
          <t>VÄSTRA GÖTALANDS LÄN</t>
        </is>
      </c>
      <c r="G58" t="inlineStr">
        <is>
          <t>BENGTSFORS</t>
        </is>
      </c>
      <c r="I58" t="n">
        <v>2.6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Talltita</t>
        </is>
      </c>
      <c r="V58">
        <f>HYPERLINK("https://klasma.github.io/Logging_1460/artfynd/A 7682-2025 artfynd.xlsx", "A 7682-2025")</f>
        <v/>
      </c>
      <c r="W58">
        <f>HYPERLINK("https://klasma.github.io/Logging_1460/kartor/A 7682-2025 karta.png", "A 7682-2025")</f>
        <v/>
      </c>
      <c r="Y58">
        <f>HYPERLINK("https://klasma.github.io/Logging_1460/klagomål/A 7682-2025 FSC-klagomål.docx", "A 7682-2025")</f>
        <v/>
      </c>
      <c r="Z58">
        <f>HYPERLINK("https://klasma.github.io/Logging_1460/klagomålsmail/A 7682-2025 FSC-klagomål mail.docx", "A 7682-2025")</f>
        <v/>
      </c>
      <c r="AA58">
        <f>HYPERLINK("https://klasma.github.io/Logging_1460/tillsyn/A 7682-2025 tillsynsbegäran.docx", "A 7682-2025")</f>
        <v/>
      </c>
      <c r="AB58">
        <f>HYPERLINK("https://klasma.github.io/Logging_1460/tillsynsmail/A 7682-2025 tillsynsbegäran mail.docx", "A 7682-2025")</f>
        <v/>
      </c>
      <c r="AC58">
        <f>HYPERLINK("https://klasma.github.io/Logging_1460/fåglar/A 7682-2025 prioriterade fågelarter.docx", "A 7682-2025")</f>
        <v/>
      </c>
    </row>
    <row r="59" ht="15" customHeight="1">
      <c r="A59" t="inlineStr">
        <is>
          <t>A 7325-2026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46221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Kattfotslav</t>
        </is>
      </c>
      <c r="V59">
        <f>HYPERLINK("https://klasma.github.io/Logging_1460/artfynd/A 7325-2026 artfynd.xlsx", "A 7325-2026")</f>
        <v/>
      </c>
      <c r="W59">
        <f>HYPERLINK("https://klasma.github.io/Logging_1460/kartor/A 7325-2026 karta.png", "A 7325-2026")</f>
        <v/>
      </c>
      <c r="Y59">
        <f>HYPERLINK("https://klasma.github.io/Logging_1460/klagomål/A 7325-2026 FSC-klagomål.docx", "A 7325-2026")</f>
        <v/>
      </c>
      <c r="Z59">
        <f>HYPERLINK("https://klasma.github.io/Logging_1460/klagomålsmail/A 7325-2026 FSC-klagomål mail.docx", "A 7325-2026")</f>
        <v/>
      </c>
      <c r="AA59">
        <f>HYPERLINK("https://klasma.github.io/Logging_1460/tillsyn/A 7325-2026 tillsynsbegäran.docx", "A 7325-2026")</f>
        <v/>
      </c>
      <c r="AB59">
        <f>HYPERLINK("https://klasma.github.io/Logging_1460/tillsynsmail/A 7325-2026 tillsynsbegäran mail.docx", "A 7325-2026")</f>
        <v/>
      </c>
    </row>
    <row r="60" ht="15" customHeight="1">
      <c r="A60" t="inlineStr">
        <is>
          <t>A 48972-2025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46221</v>
      </c>
      <c r="F60" t="inlineStr">
        <is>
          <t>VÄSTRA GÖTALANDS LÄN</t>
        </is>
      </c>
      <c r="G60" t="inlineStr">
        <is>
          <t>BENGTSFORS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s="2" t="inlineStr">
        <is>
          <t>Ask</t>
        </is>
      </c>
      <c r="V60">
        <f>HYPERLINK("https://klasma.github.io/Logging_1460/artfynd/A 48972-2025 artfynd.xlsx", "A 48972-2025")</f>
        <v/>
      </c>
      <c r="W60">
        <f>HYPERLINK("https://klasma.github.io/Logging_1460/kartor/A 48972-2025 karta.png", "A 48972-2025")</f>
        <v/>
      </c>
      <c r="Y60">
        <f>HYPERLINK("https://klasma.github.io/Logging_1460/klagomål/A 48972-2025 FSC-klagomål.docx", "A 48972-2025")</f>
        <v/>
      </c>
      <c r="Z60">
        <f>HYPERLINK("https://klasma.github.io/Logging_1460/klagomålsmail/A 48972-2025 FSC-klagomål mail.docx", "A 48972-2025")</f>
        <v/>
      </c>
      <c r="AA60">
        <f>HYPERLINK("https://klasma.github.io/Logging_1460/tillsyn/A 48972-2025 tillsynsbegäran.docx", "A 48972-2025")</f>
        <v/>
      </c>
      <c r="AB60">
        <f>HYPERLINK("https://klasma.github.io/Logging_1460/tillsynsmail/A 48972-2025 tillsynsbegäran mail.docx", "A 48972-2025")</f>
        <v/>
      </c>
    </row>
    <row r="61" ht="15" customHeight="1">
      <c r="A61" t="inlineStr">
        <is>
          <t>A 8256-2026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46221</v>
      </c>
      <c r="F61" t="inlineStr">
        <is>
          <t>VÄSTRA GÖTALANDS LÄN</t>
        </is>
      </c>
      <c r="G61" t="inlineStr">
        <is>
          <t>BENGTSFORS</t>
        </is>
      </c>
      <c r="H61" t="inlineStr">
        <is>
          <t>Kyrkan</t>
        </is>
      </c>
      <c r="I61" t="n">
        <v>1.7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Brun klibbskivling</t>
        </is>
      </c>
      <c r="V61">
        <f>HYPERLINK("https://klasma.github.io/Logging_1460/artfynd/A 8256-2026 artfynd.xlsx", "A 8256-2026")</f>
        <v/>
      </c>
      <c r="W61">
        <f>HYPERLINK("https://klasma.github.io/Logging_1460/kartor/A 8256-2026 karta.png", "A 8256-2026")</f>
        <v/>
      </c>
      <c r="Y61">
        <f>HYPERLINK("https://klasma.github.io/Logging_1460/klagomål/A 8256-2026 FSC-klagomål.docx", "A 8256-2026")</f>
        <v/>
      </c>
      <c r="Z61">
        <f>HYPERLINK("https://klasma.github.io/Logging_1460/klagomålsmail/A 8256-2026 FSC-klagomål mail.docx", "A 8256-2026")</f>
        <v/>
      </c>
      <c r="AA61">
        <f>HYPERLINK("https://klasma.github.io/Logging_1460/tillsyn/A 8256-2026 tillsynsbegäran.docx", "A 8256-2026")</f>
        <v/>
      </c>
      <c r="AB61">
        <f>HYPERLINK("https://klasma.github.io/Logging_1460/tillsynsmail/A 8256-2026 tillsynsbegäran mail.docx", "A 8256-2026")</f>
        <v/>
      </c>
    </row>
    <row r="62" ht="15" customHeight="1">
      <c r="A62" t="inlineStr">
        <is>
          <t>A 31710-2022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44776</v>
      </c>
      <c r="E62" s="1" t="n">
        <v>46221</v>
      </c>
      <c r="F62" t="inlineStr">
        <is>
          <t>VÄSTRA GÖTALANDS LÄN</t>
        </is>
      </c>
      <c r="G62" t="inlineStr">
        <is>
          <t>BENGTSFORS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HYPERLINK("https://klasma.github.io/Logging_1460/artfynd/A 31710-2022 artfynd.xlsx", "A 31710-2022")</f>
        <v/>
      </c>
      <c r="W62">
        <f>HYPERLINK("https://klasma.github.io/Logging_1460/kartor/A 31710-2022 karta.png", "A 31710-2022")</f>
        <v/>
      </c>
      <c r="Y62">
        <f>HYPERLINK("https://klasma.github.io/Logging_1460/klagomål/A 31710-2022 FSC-klagomål.docx", "A 31710-2022")</f>
        <v/>
      </c>
      <c r="Z62">
        <f>HYPERLINK("https://klasma.github.io/Logging_1460/klagomålsmail/A 31710-2022 FSC-klagomål mail.docx", "A 31710-2022")</f>
        <v/>
      </c>
      <c r="AA62">
        <f>HYPERLINK("https://klasma.github.io/Logging_1460/tillsyn/A 31710-2022 tillsynsbegäran.docx", "A 31710-2022")</f>
        <v/>
      </c>
      <c r="AB62">
        <f>HYPERLINK("https://klasma.github.io/Logging_1460/tillsynsmail/A 31710-2022 tillsynsbegäran mail.docx", "A 31710-2022")</f>
        <v/>
      </c>
    </row>
    <row r="63" ht="15" customHeight="1">
      <c r="A63" t="inlineStr">
        <is>
          <t>A 60324-2025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45994</v>
      </c>
      <c r="E63" s="1" t="n">
        <v>46221</v>
      </c>
      <c r="F63" t="inlineStr">
        <is>
          <t>VÄSTRA GÖTALANDS LÄN</t>
        </is>
      </c>
      <c r="G63" t="inlineStr">
        <is>
          <t>BENGTSFORS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HYPERLINK("https://klasma.github.io/Logging_1460/artfynd/A 60324-2025 artfynd.xlsx", "A 60324-2025")</f>
        <v/>
      </c>
      <c r="W63">
        <f>HYPERLINK("https://klasma.github.io/Logging_1460/kartor/A 60324-2025 karta.png", "A 60324-2025")</f>
        <v/>
      </c>
      <c r="Y63">
        <f>HYPERLINK("https://klasma.github.io/Logging_1460/klagomål/A 60324-2025 FSC-klagomål.docx", "A 60324-2025")</f>
        <v/>
      </c>
      <c r="Z63">
        <f>HYPERLINK("https://klasma.github.io/Logging_1460/klagomålsmail/A 60324-2025 FSC-klagomål mail.docx", "A 60324-2025")</f>
        <v/>
      </c>
      <c r="AA63">
        <f>HYPERLINK("https://klasma.github.io/Logging_1460/tillsyn/A 60324-2025 tillsynsbegäran.docx", "A 60324-2025")</f>
        <v/>
      </c>
      <c r="AB63">
        <f>HYPERLINK("https://klasma.github.io/Logging_1460/tillsynsmail/A 60324-2025 tillsynsbegäran mail.docx", "A 60324-2025")</f>
        <v/>
      </c>
      <c r="AC63">
        <f>HYPERLINK("https://klasma.github.io/Logging_1460/fåglar/A 60324-2025 prioriterade fågelarter.docx", "A 60324-2025")</f>
        <v/>
      </c>
    </row>
    <row r="64" ht="15" customHeight="1">
      <c r="A64" t="inlineStr">
        <is>
          <t>A 14017-2026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46221</v>
      </c>
      <c r="F64" t="inlineStr">
        <is>
          <t>VÄSTRA GÖTALANDS LÄN</t>
        </is>
      </c>
      <c r="G64" t="inlineStr">
        <is>
          <t>BENGTSFORS</t>
        </is>
      </c>
      <c r="H64" t="inlineStr">
        <is>
          <t>Bergvik skog väst AB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Jättesvampmal</t>
        </is>
      </c>
      <c r="V64">
        <f>HYPERLINK("https://klasma.github.io/Logging_1460/artfynd/A 14017-2026 artfynd.xlsx", "A 14017-2026")</f>
        <v/>
      </c>
      <c r="W64">
        <f>HYPERLINK("https://klasma.github.io/Logging_1460/kartor/A 14017-2026 karta.png", "A 14017-2026")</f>
        <v/>
      </c>
      <c r="Y64">
        <f>HYPERLINK("https://klasma.github.io/Logging_1460/klagomål/A 14017-2026 FSC-klagomål.docx", "A 14017-2026")</f>
        <v/>
      </c>
      <c r="Z64">
        <f>HYPERLINK("https://klasma.github.io/Logging_1460/klagomålsmail/A 14017-2026 FSC-klagomål mail.docx", "A 14017-2026")</f>
        <v/>
      </c>
      <c r="AA64">
        <f>HYPERLINK("https://klasma.github.io/Logging_1460/tillsyn/A 14017-2026 tillsynsbegäran.docx", "A 14017-2026")</f>
        <v/>
      </c>
      <c r="AB64">
        <f>HYPERLINK("https://klasma.github.io/Logging_1460/tillsynsmail/A 14017-2026 tillsynsbegäran mail.docx", "A 14017-2026")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46221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Svinrot</t>
        </is>
      </c>
      <c r="V65">
        <f>HYPERLINK("https://klasma.github.io/Logging_1460/artfynd/A 63909-2025 artfynd.xlsx", "A 63909-2025")</f>
        <v/>
      </c>
      <c r="W65">
        <f>HYPERLINK("https://klasma.github.io/Logging_1460/kartor/A 63909-2025 karta.png", "A 63909-2025")</f>
        <v/>
      </c>
      <c r="Y65">
        <f>HYPERLINK("https://klasma.github.io/Logging_1460/klagomål/A 63909-2025 FSC-klagomål.docx", "A 63909-2025")</f>
        <v/>
      </c>
      <c r="Z65">
        <f>HYPERLINK("https://klasma.github.io/Logging_1460/klagomålsmail/A 63909-2025 FSC-klagomål mail.docx", "A 63909-2025")</f>
        <v/>
      </c>
      <c r="AA65">
        <f>HYPERLINK("https://klasma.github.io/Logging_1460/tillsyn/A 63909-2025 tillsynsbegäran.docx", "A 63909-2025")</f>
        <v/>
      </c>
      <c r="AB65">
        <f>HYPERLINK("https://klasma.github.io/Logging_1460/tillsynsmail/A 63909-2025 tillsynsbegäran mail.docx", "A 63909-2025")</f>
        <v/>
      </c>
    </row>
    <row r="66" ht="15" customHeight="1">
      <c r="A66" t="inlineStr">
        <is>
          <t>A 928-2022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46221</v>
      </c>
      <c r="F66" t="inlineStr">
        <is>
          <t>VÄSTRA GÖTALANDS LÄN</t>
        </is>
      </c>
      <c r="G66" t="inlineStr">
        <is>
          <t>BENGTSFORS</t>
        </is>
      </c>
      <c r="I66" t="n">
        <v>7.4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Tallticka</t>
        </is>
      </c>
      <c r="V66">
        <f>HYPERLINK("https://klasma.github.io/Logging_1460/artfynd/A 928-2022 artfynd.xlsx", "A 928-2022")</f>
        <v/>
      </c>
      <c r="W66">
        <f>HYPERLINK("https://klasma.github.io/Logging_1460/kartor/A 928-2022 karta.png", "A 928-2022")</f>
        <v/>
      </c>
      <c r="Y66">
        <f>HYPERLINK("https://klasma.github.io/Logging_1460/klagomål/A 928-2022 FSC-klagomål.docx", "A 928-2022")</f>
        <v/>
      </c>
      <c r="Z66">
        <f>HYPERLINK("https://klasma.github.io/Logging_1460/klagomålsmail/A 928-2022 FSC-klagomål mail.docx", "A 928-2022")</f>
        <v/>
      </c>
      <c r="AA66">
        <f>HYPERLINK("https://klasma.github.io/Logging_1460/tillsyn/A 928-2022 tillsynsbegäran.docx", "A 928-2022")</f>
        <v/>
      </c>
      <c r="AB66">
        <f>HYPERLINK("https://klasma.github.io/Logging_1460/tillsynsmail/A 928-2022 tillsynsbegäran mail.docx", "A 928-2022")</f>
        <v/>
      </c>
    </row>
    <row r="67" ht="15" customHeight="1">
      <c r="A67" t="inlineStr">
        <is>
          <t>A 41210-2024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45559</v>
      </c>
      <c r="E67" s="1" t="n">
        <v>46221</v>
      </c>
      <c r="F67" t="inlineStr">
        <is>
          <t>VÄSTRA GÖTALANDS LÄN</t>
        </is>
      </c>
      <c r="G67" t="inlineStr">
        <is>
          <t>BENGTSFORS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s="2" t="inlineStr">
        <is>
          <t>Skogsklocka</t>
        </is>
      </c>
      <c r="V67">
        <f>HYPERLINK("https://klasma.github.io/Logging_1460/artfynd/A 41210-2024 artfynd.xlsx", "A 41210-2024")</f>
        <v/>
      </c>
      <c r="W67">
        <f>HYPERLINK("https://klasma.github.io/Logging_1460/kartor/A 41210-2024 karta.png", "A 41210-2024")</f>
        <v/>
      </c>
      <c r="Y67">
        <f>HYPERLINK("https://klasma.github.io/Logging_1460/klagomål/A 41210-2024 FSC-klagomål.docx", "A 41210-2024")</f>
        <v/>
      </c>
      <c r="Z67">
        <f>HYPERLINK("https://klasma.github.io/Logging_1460/klagomålsmail/A 41210-2024 FSC-klagomål mail.docx", "A 41210-2024")</f>
        <v/>
      </c>
      <c r="AA67">
        <f>HYPERLINK("https://klasma.github.io/Logging_1460/tillsyn/A 41210-2024 tillsynsbegäran.docx", "A 41210-2024")</f>
        <v/>
      </c>
      <c r="AB67">
        <f>HYPERLINK("https://klasma.github.io/Logging_1460/tillsynsmail/A 41210-2024 tillsynsbegäran mail.docx", "A 41210-2024")</f>
        <v/>
      </c>
    </row>
    <row r="68" ht="15" customHeight="1">
      <c r="A68" t="inlineStr">
        <is>
          <t>A 8542-2024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46221</v>
      </c>
      <c r="F68" t="inlineStr">
        <is>
          <t>VÄSTRA GÖTALANDS LÄN</t>
        </is>
      </c>
      <c r="G68" t="inlineStr">
        <is>
          <t>BENGTSFORS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Ärtsångare</t>
        </is>
      </c>
      <c r="V68">
        <f>HYPERLINK("https://klasma.github.io/Logging_1460/artfynd/A 8542-2024 artfynd.xlsx", "A 8542-2024")</f>
        <v/>
      </c>
      <c r="W68">
        <f>HYPERLINK("https://klasma.github.io/Logging_1460/kartor/A 8542-2024 karta.png", "A 8542-2024")</f>
        <v/>
      </c>
      <c r="Y68">
        <f>HYPERLINK("https://klasma.github.io/Logging_1460/klagomål/A 8542-2024 FSC-klagomål.docx", "A 8542-2024")</f>
        <v/>
      </c>
      <c r="Z68">
        <f>HYPERLINK("https://klasma.github.io/Logging_1460/klagomålsmail/A 8542-2024 FSC-klagomål mail.docx", "A 8542-2024")</f>
        <v/>
      </c>
      <c r="AA68">
        <f>HYPERLINK("https://klasma.github.io/Logging_1460/tillsyn/A 8542-2024 tillsynsbegäran.docx", "A 8542-2024")</f>
        <v/>
      </c>
      <c r="AB68">
        <f>HYPERLINK("https://klasma.github.io/Logging_1460/tillsynsmail/A 8542-2024 tillsynsbegäran mail.docx", "A 8542-2024")</f>
        <v/>
      </c>
    </row>
    <row r="69" ht="15" customHeight="1">
      <c r="A69" t="inlineStr">
        <is>
          <t>A 28783-2025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46221</v>
      </c>
      <c r="F69" t="inlineStr">
        <is>
          <t>VÄSTRA GÖTALANDS LÄN</t>
        </is>
      </c>
      <c r="G69" t="inlineStr">
        <is>
          <t>BENGTSFORS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Grönpyrola</t>
        </is>
      </c>
      <c r="V69">
        <f>HYPERLINK("https://klasma.github.io/Logging_1460/artfynd/A 28783-2025 artfynd.xlsx", "A 28783-2025")</f>
        <v/>
      </c>
      <c r="W69">
        <f>HYPERLINK("https://klasma.github.io/Logging_1460/kartor/A 28783-2025 karta.png", "A 28783-2025")</f>
        <v/>
      </c>
      <c r="Y69">
        <f>HYPERLINK("https://klasma.github.io/Logging_1460/klagomål/A 28783-2025 FSC-klagomål.docx", "A 28783-2025")</f>
        <v/>
      </c>
      <c r="Z69">
        <f>HYPERLINK("https://klasma.github.io/Logging_1460/klagomålsmail/A 28783-2025 FSC-klagomål mail.docx", "A 28783-2025")</f>
        <v/>
      </c>
      <c r="AA69">
        <f>HYPERLINK("https://klasma.github.io/Logging_1460/tillsyn/A 28783-2025 tillsynsbegäran.docx", "A 28783-2025")</f>
        <v/>
      </c>
      <c r="AB69">
        <f>HYPERLINK("https://klasma.github.io/Logging_1460/tillsynsmail/A 28783-2025 tillsynsbegäran mail.docx", "A 28783-2025")</f>
        <v/>
      </c>
    </row>
    <row r="70" ht="15" customHeight="1">
      <c r="A70" t="inlineStr">
        <is>
          <t>A 11751-2024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46221</v>
      </c>
      <c r="F70" t="inlineStr">
        <is>
          <t>VÄSTRA GÖTALANDS LÄN</t>
        </is>
      </c>
      <c r="G70" t="inlineStr">
        <is>
          <t>BENGTSFORS</t>
        </is>
      </c>
      <c r="I70" t="n">
        <v>2.4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Gråspett</t>
        </is>
      </c>
      <c r="V70">
        <f>HYPERLINK("https://klasma.github.io/Logging_1460/artfynd/A 11751-2024 artfynd.xlsx", "A 11751-2024")</f>
        <v/>
      </c>
      <c r="W70">
        <f>HYPERLINK("https://klasma.github.io/Logging_1460/kartor/A 11751-2024 karta.png", "A 11751-2024")</f>
        <v/>
      </c>
      <c r="Y70">
        <f>HYPERLINK("https://klasma.github.io/Logging_1460/klagomål/A 11751-2024 FSC-klagomål.docx", "A 11751-2024")</f>
        <v/>
      </c>
      <c r="Z70">
        <f>HYPERLINK("https://klasma.github.io/Logging_1460/klagomålsmail/A 11751-2024 FSC-klagomål mail.docx", "A 11751-2024")</f>
        <v/>
      </c>
      <c r="AA70">
        <f>HYPERLINK("https://klasma.github.io/Logging_1460/tillsyn/A 11751-2024 tillsynsbegäran.docx", "A 11751-2024")</f>
        <v/>
      </c>
      <c r="AB70">
        <f>HYPERLINK("https://klasma.github.io/Logging_1460/tillsynsmail/A 11751-2024 tillsynsbegäran mail.docx", "A 11751-2024")</f>
        <v/>
      </c>
      <c r="AC70">
        <f>HYPERLINK("https://klasma.github.io/Logging_1460/fåglar/A 11751-2024 prioriterade fågelarter.docx", "A 11751-2024")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46221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Strutbräken</t>
        </is>
      </c>
      <c r="V71">
        <f>HYPERLINK("https://klasma.github.io/Logging_1460/artfynd/A 2504-2024 artfynd.xlsx", "A 2504-2024")</f>
        <v/>
      </c>
      <c r="W71">
        <f>HYPERLINK("https://klasma.github.io/Logging_1460/kartor/A 2504-2024 karta.png", "A 2504-2024")</f>
        <v/>
      </c>
      <c r="Y71">
        <f>HYPERLINK("https://klasma.github.io/Logging_1460/klagomål/A 2504-2024 FSC-klagomål.docx", "A 2504-2024")</f>
        <v/>
      </c>
      <c r="Z71">
        <f>HYPERLINK("https://klasma.github.io/Logging_1460/klagomålsmail/A 2504-2024 FSC-klagomål mail.docx", "A 2504-2024")</f>
        <v/>
      </c>
      <c r="AA71">
        <f>HYPERLINK("https://klasma.github.io/Logging_1460/tillsyn/A 2504-2024 tillsynsbegäran.docx", "A 2504-2024")</f>
        <v/>
      </c>
      <c r="AB71">
        <f>HYPERLINK("https://klasma.github.io/Logging_1460/tillsynsmail/A 2504-2024 tillsynsbegäran mail.docx", "A 2504-2024")</f>
        <v/>
      </c>
    </row>
    <row r="72" ht="15" customHeight="1">
      <c r="A72" t="inlineStr">
        <is>
          <t>A 56006-2022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46221</v>
      </c>
      <c r="F72" t="inlineStr">
        <is>
          <t>VÄSTRA GÖTALANDS LÄN</t>
        </is>
      </c>
      <c r="G72" t="inlineStr">
        <is>
          <t>BENGTSFORS</t>
        </is>
      </c>
      <c r="I72" t="n">
        <v>6.4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Västlig hakmossa</t>
        </is>
      </c>
      <c r="V72">
        <f>HYPERLINK("https://klasma.github.io/Logging_1460/artfynd/A 56006-2022 artfynd.xlsx", "A 56006-2022")</f>
        <v/>
      </c>
      <c r="W72">
        <f>HYPERLINK("https://klasma.github.io/Logging_1460/kartor/A 56006-2022 karta.png", "A 56006-2022")</f>
        <v/>
      </c>
      <c r="Y72">
        <f>HYPERLINK("https://klasma.github.io/Logging_1460/klagomål/A 56006-2022 FSC-klagomål.docx", "A 56006-2022")</f>
        <v/>
      </c>
      <c r="Z72">
        <f>HYPERLINK("https://klasma.github.io/Logging_1460/klagomålsmail/A 56006-2022 FSC-klagomål mail.docx", "A 56006-2022")</f>
        <v/>
      </c>
      <c r="AA72">
        <f>HYPERLINK("https://klasma.github.io/Logging_1460/tillsyn/A 56006-2022 tillsynsbegäran.docx", "A 56006-2022")</f>
        <v/>
      </c>
      <c r="AB72">
        <f>HYPERLINK("https://klasma.github.io/Logging_1460/tillsynsmail/A 56006-2022 tillsynsbegäran mail.docx", "A 56006-2022")</f>
        <v/>
      </c>
    </row>
    <row r="73" ht="15" customHeight="1">
      <c r="A73" t="inlineStr">
        <is>
          <t>A 39804-2021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44417</v>
      </c>
      <c r="E73" s="1" t="n">
        <v>46221</v>
      </c>
      <c r="F73" t="inlineStr">
        <is>
          <t>VÄSTRA GÖTALANDS LÄN</t>
        </is>
      </c>
      <c r="G73" t="inlineStr">
        <is>
          <t>BENGTSFORS</t>
        </is>
      </c>
      <c r="I73" t="n">
        <v>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Kambräken</t>
        </is>
      </c>
      <c r="V73">
        <f>HYPERLINK("https://klasma.github.io/Logging_1460/artfynd/A 39804-2021 artfynd.xlsx", "A 39804-2021")</f>
        <v/>
      </c>
      <c r="W73">
        <f>HYPERLINK("https://klasma.github.io/Logging_1460/kartor/A 39804-2021 karta.png", "A 39804-2021")</f>
        <v/>
      </c>
      <c r="Y73">
        <f>HYPERLINK("https://klasma.github.io/Logging_1460/klagomål/A 39804-2021 FSC-klagomål.docx", "A 39804-2021")</f>
        <v/>
      </c>
      <c r="Z73">
        <f>HYPERLINK("https://klasma.github.io/Logging_1460/klagomålsmail/A 39804-2021 FSC-klagomål mail.docx", "A 39804-2021")</f>
        <v/>
      </c>
      <c r="AA73">
        <f>HYPERLINK("https://klasma.github.io/Logging_1460/tillsyn/A 39804-2021 tillsynsbegäran.docx", "A 39804-2021")</f>
        <v/>
      </c>
      <c r="AB73">
        <f>HYPERLINK("https://klasma.github.io/Logging_1460/tillsynsmail/A 39804-2021 tillsynsbegäran mail.docx", "A 39804-2021")</f>
        <v/>
      </c>
    </row>
    <row r="74" ht="15" customHeight="1">
      <c r="A74" t="inlineStr">
        <is>
          <t>A 29204-2022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44750</v>
      </c>
      <c r="E74" s="1" t="n">
        <v>46221</v>
      </c>
      <c r="F74" t="inlineStr">
        <is>
          <t>VÄSTRA GÖTALANDS LÄN</t>
        </is>
      </c>
      <c r="G74" t="inlineStr">
        <is>
          <t>BENGTSFORS</t>
        </is>
      </c>
      <c r="I74" t="n">
        <v>3.7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Spillkråka</t>
        </is>
      </c>
      <c r="V74">
        <f>HYPERLINK("https://klasma.github.io/Logging_1460/artfynd/A 29204-2022 artfynd.xlsx", "A 29204-2022")</f>
        <v/>
      </c>
      <c r="W74">
        <f>HYPERLINK("https://klasma.github.io/Logging_1460/kartor/A 29204-2022 karta.png", "A 29204-2022")</f>
        <v/>
      </c>
      <c r="Y74">
        <f>HYPERLINK("https://klasma.github.io/Logging_1460/klagomål/A 29204-2022 FSC-klagomål.docx", "A 29204-2022")</f>
        <v/>
      </c>
      <c r="Z74">
        <f>HYPERLINK("https://klasma.github.io/Logging_1460/klagomålsmail/A 29204-2022 FSC-klagomål mail.docx", "A 29204-2022")</f>
        <v/>
      </c>
      <c r="AA74">
        <f>HYPERLINK("https://klasma.github.io/Logging_1460/tillsyn/A 29204-2022 tillsynsbegäran.docx", "A 29204-2022")</f>
        <v/>
      </c>
      <c r="AB74">
        <f>HYPERLINK("https://klasma.github.io/Logging_1460/tillsynsmail/A 29204-2022 tillsynsbegäran mail.docx", "A 29204-2022")</f>
        <v/>
      </c>
      <c r="AC74">
        <f>HYPERLINK("https://klasma.github.io/Logging_1460/fåglar/A 29204-2022 prioriterade fågelarter.docx", "A 29204-2022")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46221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Klippfrullania</t>
        </is>
      </c>
      <c r="V75">
        <f>HYPERLINK("https://klasma.github.io/Logging_1460/artfynd/A 54839-2023 artfynd.xlsx", "A 54839-2023")</f>
        <v/>
      </c>
      <c r="W75">
        <f>HYPERLINK("https://klasma.github.io/Logging_1460/kartor/A 54839-2023 karta.png", "A 54839-2023")</f>
        <v/>
      </c>
      <c r="Y75">
        <f>HYPERLINK("https://klasma.github.io/Logging_1460/klagomål/A 54839-2023 FSC-klagomål.docx", "A 54839-2023")</f>
        <v/>
      </c>
      <c r="Z75">
        <f>HYPERLINK("https://klasma.github.io/Logging_1460/klagomålsmail/A 54839-2023 FSC-klagomål mail.docx", "A 54839-2023")</f>
        <v/>
      </c>
      <c r="AA75">
        <f>HYPERLINK("https://klasma.github.io/Logging_1460/tillsyn/A 54839-2023 tillsynsbegäran.docx", "A 54839-2023")</f>
        <v/>
      </c>
      <c r="AB75">
        <f>HYPERLINK("https://klasma.github.io/Logging_1460/tillsynsmail/A 54839-2023 tillsynsbegäran mail.docx", "A 54839-2023")</f>
        <v/>
      </c>
    </row>
    <row r="76" ht="15" customHeight="1">
      <c r="A76" t="inlineStr">
        <is>
          <t>A 5971-2024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46221</v>
      </c>
      <c r="F76" t="inlineStr">
        <is>
          <t>VÄSTRA GÖTALANDS LÄN</t>
        </is>
      </c>
      <c r="G76" t="inlineStr">
        <is>
          <t>BENGTSFORS</t>
        </is>
      </c>
      <c r="I76" t="n">
        <v>3.4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Tallticka</t>
        </is>
      </c>
      <c r="V76">
        <f>HYPERLINK("https://klasma.github.io/Logging_1460/artfynd/A 5971-2024 artfynd.xlsx", "A 5971-2024")</f>
        <v/>
      </c>
      <c r="W76">
        <f>HYPERLINK("https://klasma.github.io/Logging_1460/kartor/A 5971-2024 karta.png", "A 5971-2024")</f>
        <v/>
      </c>
      <c r="Y76">
        <f>HYPERLINK("https://klasma.github.io/Logging_1460/klagomål/A 5971-2024 FSC-klagomål.docx", "A 5971-2024")</f>
        <v/>
      </c>
      <c r="Z76">
        <f>HYPERLINK("https://klasma.github.io/Logging_1460/klagomålsmail/A 5971-2024 FSC-klagomål mail.docx", "A 5971-2024")</f>
        <v/>
      </c>
      <c r="AA76">
        <f>HYPERLINK("https://klasma.github.io/Logging_1460/tillsyn/A 5971-2024 tillsynsbegäran.docx", "A 5971-2024")</f>
        <v/>
      </c>
      <c r="AB76">
        <f>HYPERLINK("https://klasma.github.io/Logging_1460/tillsynsmail/A 5971-2024 tillsynsbegäran mail.docx", "A 5971-2024")</f>
        <v/>
      </c>
    </row>
    <row r="77" ht="15" customHeight="1">
      <c r="A77" t="inlineStr">
        <is>
          <t>A 29165-2026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46202</v>
      </c>
      <c r="E77" s="1" t="n">
        <v>46221</v>
      </c>
      <c r="F77" t="inlineStr">
        <is>
          <t>VÄSTRA GÖTALANDS LÄN</t>
        </is>
      </c>
      <c r="G77" t="inlineStr">
        <is>
          <t>BENGTSFORS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HYPERLINK("https://klasma.github.io/Logging_1460/artfynd/A 29165-2026 artfynd.xlsx", "A 29165-2026")</f>
        <v/>
      </c>
      <c r="W77">
        <f>HYPERLINK("https://klasma.github.io/Logging_1460/kartor/A 29165-2026 karta.png", "A 29165-2026")</f>
        <v/>
      </c>
      <c r="Y77">
        <f>HYPERLINK("https://klasma.github.io/Logging_1460/klagomål/A 29165-2026 FSC-klagomål.docx", "A 29165-2026")</f>
        <v/>
      </c>
      <c r="Z77">
        <f>HYPERLINK("https://klasma.github.io/Logging_1460/klagomålsmail/A 29165-2026 FSC-klagomål mail.docx", "A 29165-2026")</f>
        <v/>
      </c>
      <c r="AA77">
        <f>HYPERLINK("https://klasma.github.io/Logging_1460/tillsyn/A 29165-2026 tillsynsbegäran.docx", "A 29165-2026")</f>
        <v/>
      </c>
      <c r="AB77">
        <f>HYPERLINK("https://klasma.github.io/Logging_1460/tillsynsmail/A 29165-2026 tillsynsbegäran mail.docx", "A 29165-2026")</f>
        <v/>
      </c>
      <c r="AC77">
        <f>HYPERLINK("https://klasma.github.io/Logging_1460/fåglar/A 29165-2026 prioriterade fågelarter.docx", "A 29165-2026")</f>
        <v/>
      </c>
    </row>
    <row r="78" ht="15" customHeight="1">
      <c r="A78" t="inlineStr">
        <is>
          <t>A 19951-2024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45433</v>
      </c>
      <c r="E78" s="1" t="n">
        <v>46221</v>
      </c>
      <c r="F78" t="inlineStr">
        <is>
          <t>VÄSTRA GÖTALANDS LÄN</t>
        </is>
      </c>
      <c r="G78" t="inlineStr">
        <is>
          <t>BENGTSFORS</t>
        </is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Skogsklocka</t>
        </is>
      </c>
      <c r="V78">
        <f>HYPERLINK("https://klasma.github.io/Logging_1460/artfynd/A 19951-2024 artfynd.xlsx", "A 19951-2024")</f>
        <v/>
      </c>
      <c r="W78">
        <f>HYPERLINK("https://klasma.github.io/Logging_1460/kartor/A 19951-2024 karta.png", "A 19951-2024")</f>
        <v/>
      </c>
      <c r="Y78">
        <f>HYPERLINK("https://klasma.github.io/Logging_1460/klagomål/A 19951-2024 FSC-klagomål.docx", "A 19951-2024")</f>
        <v/>
      </c>
      <c r="Z78">
        <f>HYPERLINK("https://klasma.github.io/Logging_1460/klagomålsmail/A 19951-2024 FSC-klagomål mail.docx", "A 19951-2024")</f>
        <v/>
      </c>
      <c r="AA78">
        <f>HYPERLINK("https://klasma.github.io/Logging_1460/tillsyn/A 19951-2024 tillsynsbegäran.docx", "A 19951-2024")</f>
        <v/>
      </c>
      <c r="AB78">
        <f>HYPERLINK("https://klasma.github.io/Logging_1460/tillsynsmail/A 19951-2024 tillsynsbegäran mail.docx", "A 19951-2024")</f>
        <v/>
      </c>
    </row>
    <row r="79" ht="15" customHeight="1">
      <c r="A79" t="inlineStr">
        <is>
          <t>A 49595-2024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46221</v>
      </c>
      <c r="F79" t="inlineStr">
        <is>
          <t>VÄSTRA GÖTALANDS LÄN</t>
        </is>
      </c>
      <c r="G79" t="inlineStr">
        <is>
          <t>BENGTSFORS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Trana</t>
        </is>
      </c>
      <c r="V79">
        <f>HYPERLINK("https://klasma.github.io/Logging_1460/artfynd/A 49595-2024 artfynd.xlsx", "A 49595-2024")</f>
        <v/>
      </c>
      <c r="W79">
        <f>HYPERLINK("https://klasma.github.io/Logging_1460/kartor/A 49595-2024 karta.png", "A 49595-2024")</f>
        <v/>
      </c>
      <c r="Y79">
        <f>HYPERLINK("https://klasma.github.io/Logging_1460/klagomål/A 49595-2024 FSC-klagomål.docx", "A 49595-2024")</f>
        <v/>
      </c>
      <c r="Z79">
        <f>HYPERLINK("https://klasma.github.io/Logging_1460/klagomålsmail/A 49595-2024 FSC-klagomål mail.docx", "A 49595-2024")</f>
        <v/>
      </c>
      <c r="AA79">
        <f>HYPERLINK("https://klasma.github.io/Logging_1460/tillsyn/A 49595-2024 tillsynsbegäran.docx", "A 49595-2024")</f>
        <v/>
      </c>
      <c r="AB79">
        <f>HYPERLINK("https://klasma.github.io/Logging_1460/tillsynsmail/A 49595-2024 tillsynsbegäran mail.docx", "A 49595-2024")</f>
        <v/>
      </c>
      <c r="AC79">
        <f>HYPERLINK("https://klasma.github.io/Logging_1460/fåglar/A 49595-2024 prioriterade fågelarter.docx", "A 49595-2024")</f>
        <v/>
      </c>
    </row>
    <row r="80" ht="15" customHeight="1">
      <c r="A80" t="inlineStr">
        <is>
          <t>A 52560-2021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46221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Aspgelélav</t>
        </is>
      </c>
      <c r="V80">
        <f>HYPERLINK("https://klasma.github.io/Logging_1460/artfynd/A 52560-2021 artfynd.xlsx", "A 52560-2021")</f>
        <v/>
      </c>
      <c r="W80">
        <f>HYPERLINK("https://klasma.github.io/Logging_1460/kartor/A 52560-2021 karta.png", "A 52560-2021")</f>
        <v/>
      </c>
      <c r="Y80">
        <f>HYPERLINK("https://klasma.github.io/Logging_1460/klagomål/A 52560-2021 FSC-klagomål.docx", "A 52560-2021")</f>
        <v/>
      </c>
      <c r="Z80">
        <f>HYPERLINK("https://klasma.github.io/Logging_1460/klagomålsmail/A 52560-2021 FSC-klagomål mail.docx", "A 52560-2021")</f>
        <v/>
      </c>
      <c r="AA80">
        <f>HYPERLINK("https://klasma.github.io/Logging_1460/tillsyn/A 52560-2021 tillsynsbegäran.docx", "A 52560-2021")</f>
        <v/>
      </c>
      <c r="AB80">
        <f>HYPERLINK("https://klasma.github.io/Logging_1460/tillsynsmail/A 52560-2021 tillsynsbegäran mail.docx", "A 52560-2021")</f>
        <v/>
      </c>
    </row>
    <row r="81" ht="15" customHeight="1">
      <c r="A81" t="inlineStr">
        <is>
          <t>A 29226-2022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46221</v>
      </c>
      <c r="F81" t="inlineStr">
        <is>
          <t>VÄSTRA GÖTALANDS LÄN</t>
        </is>
      </c>
      <c r="G81" t="inlineStr">
        <is>
          <t>BENGTSFORS</t>
        </is>
      </c>
      <c r="I81" t="n">
        <v>8.1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Tjäder</t>
        </is>
      </c>
      <c r="V81">
        <f>HYPERLINK("https://klasma.github.io/Logging_1460/artfynd/A 29226-2022 artfynd.xlsx", "A 29226-2022")</f>
        <v/>
      </c>
      <c r="W81">
        <f>HYPERLINK("https://klasma.github.io/Logging_1460/kartor/A 29226-2022 karta.png", "A 29226-2022")</f>
        <v/>
      </c>
      <c r="Y81">
        <f>HYPERLINK("https://klasma.github.io/Logging_1460/klagomål/A 29226-2022 FSC-klagomål.docx", "A 29226-2022")</f>
        <v/>
      </c>
      <c r="Z81">
        <f>HYPERLINK("https://klasma.github.io/Logging_1460/klagomålsmail/A 29226-2022 FSC-klagomål mail.docx", "A 29226-2022")</f>
        <v/>
      </c>
      <c r="AA81">
        <f>HYPERLINK("https://klasma.github.io/Logging_1460/tillsyn/A 29226-2022 tillsynsbegäran.docx", "A 29226-2022")</f>
        <v/>
      </c>
      <c r="AB81">
        <f>HYPERLINK("https://klasma.github.io/Logging_1460/tillsynsmail/A 29226-2022 tillsynsbegäran mail.docx", "A 29226-2022")</f>
        <v/>
      </c>
      <c r="AC81">
        <f>HYPERLINK("https://klasma.github.io/Logging_1460/fåglar/A 29226-2022 prioriterade fågelarter.docx", "A 29226-2022")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46221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Bronshjon</t>
        </is>
      </c>
      <c r="V82">
        <f>HYPERLINK("https://klasma.github.io/Logging_1460/artfynd/A 51053-2022 artfynd.xlsx", "A 51053-2022")</f>
        <v/>
      </c>
      <c r="W82">
        <f>HYPERLINK("https://klasma.github.io/Logging_1460/kartor/A 51053-2022 karta.png", "A 51053-2022")</f>
        <v/>
      </c>
      <c r="Y82">
        <f>HYPERLINK("https://klasma.github.io/Logging_1460/klagomål/A 51053-2022 FSC-klagomål.docx", "A 51053-2022")</f>
        <v/>
      </c>
      <c r="Z82">
        <f>HYPERLINK("https://klasma.github.io/Logging_1460/klagomålsmail/A 51053-2022 FSC-klagomål mail.docx", "A 51053-2022")</f>
        <v/>
      </c>
      <c r="AA82">
        <f>HYPERLINK("https://klasma.github.io/Logging_1460/tillsyn/A 51053-2022 tillsynsbegäran.docx", "A 51053-2022")</f>
        <v/>
      </c>
      <c r="AB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46221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Ask</t>
        </is>
      </c>
      <c r="V83">
        <f>HYPERLINK("https://klasma.github.io/Logging_1460/artfynd/A 11049-2025 artfynd.xlsx", "A 11049-2025")</f>
        <v/>
      </c>
      <c r="W83">
        <f>HYPERLINK("https://klasma.github.io/Logging_1460/kartor/A 11049-2025 karta.png", "A 11049-2025")</f>
        <v/>
      </c>
      <c r="Y83">
        <f>HYPERLINK("https://klasma.github.io/Logging_1460/klagomål/A 11049-2025 FSC-klagomål.docx", "A 11049-2025")</f>
        <v/>
      </c>
      <c r="Z83">
        <f>HYPERLINK("https://klasma.github.io/Logging_1460/klagomålsmail/A 11049-2025 FSC-klagomål mail.docx", "A 11049-2025")</f>
        <v/>
      </c>
      <c r="AA83">
        <f>HYPERLINK("https://klasma.github.io/Logging_1460/tillsyn/A 11049-2025 tillsynsbegäran.docx", "A 11049-2025")</f>
        <v/>
      </c>
      <c r="AB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46221</v>
      </c>
      <c r="F84" t="inlineStr">
        <is>
          <t>VÄSTRA GÖTALANDS LÄN</t>
        </is>
      </c>
      <c r="G84" t="inlineStr">
        <is>
          <t>BENGTSFORS</t>
        </is>
      </c>
      <c r="I84" t="n">
        <v>6.2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Revlummer</t>
        </is>
      </c>
      <c r="V84">
        <f>HYPERLINK("https://klasma.github.io/Logging_1460/artfynd/A 28280-2024 artfynd.xlsx", "A 28280-2024")</f>
        <v/>
      </c>
      <c r="W84">
        <f>HYPERLINK("https://klasma.github.io/Logging_1460/kartor/A 28280-2024 karta.png", "A 28280-2024")</f>
        <v/>
      </c>
      <c r="Y84">
        <f>HYPERLINK("https://klasma.github.io/Logging_1460/klagomål/A 28280-2024 FSC-klagomål.docx", "A 28280-2024")</f>
        <v/>
      </c>
      <c r="Z84">
        <f>HYPERLINK("https://klasma.github.io/Logging_1460/klagomålsmail/A 28280-2024 FSC-klagomål mail.docx", "A 28280-2024")</f>
        <v/>
      </c>
      <c r="AA84">
        <f>HYPERLINK("https://klasma.github.io/Logging_1460/tillsyn/A 28280-2024 tillsynsbegäran.docx", "A 28280-2024")</f>
        <v/>
      </c>
      <c r="AB84">
        <f>HYPERLINK("https://klasma.github.io/Logging_1460/tillsynsmail/A 28280-2024 tillsynsbegäran mail.docx", "A 28280-2024")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46221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Dofttaggsvamp</t>
        </is>
      </c>
      <c r="V85">
        <f>HYPERLINK("https://klasma.github.io/Logging_1460/artfynd/S 597-2024 artfynd.xlsx", "S 597-2024")</f>
        <v/>
      </c>
      <c r="W85">
        <f>HYPERLINK("https://klasma.github.io/Logging_1460/kartor/S 597-2024 karta.png", "S 597-2024")</f>
        <v/>
      </c>
      <c r="Y85">
        <f>HYPERLINK("https://klasma.github.io/Logging_1460/klagomål/S 597-2024 FSC-klagomål.docx", "S 597-2024")</f>
        <v/>
      </c>
      <c r="Z85">
        <f>HYPERLINK("https://klasma.github.io/Logging_1460/klagomålsmail/S 597-2024 FSC-klagomål mail.docx", "S 597-2024")</f>
        <v/>
      </c>
      <c r="AA85">
        <f>HYPERLINK("https://klasma.github.io/Logging_1460/tillsyn/S 597-2024 tillsynsbegäran.docx", "S 597-2024")</f>
        <v/>
      </c>
      <c r="AB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46221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46221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46221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46221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46221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45847-2021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44441</v>
      </c>
      <c r="E91" s="1" t="n">
        <v>46221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55975-2021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46221</v>
      </c>
      <c r="F92" t="inlineStr">
        <is>
          <t>VÄSTRA GÖTALANDS LÄN</t>
        </is>
      </c>
      <c r="G92" t="inlineStr">
        <is>
          <t>BENGTSFORS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46221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46221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46221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46221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46221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46221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46221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46221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46221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46221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46221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46221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46221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46221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46221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46221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46221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46221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46221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46221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46221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46221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46221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46221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46221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46221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46221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46221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46221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46221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46221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46221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46221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46221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46221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46221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46221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46221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46221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46221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46221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46221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44876-2022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44840</v>
      </c>
      <c r="E135" s="1" t="n">
        <v>46221</v>
      </c>
      <c r="F135" t="inlineStr">
        <is>
          <t>VÄSTRA GÖTALANDS LÄN</t>
        </is>
      </c>
      <c r="G135" t="inlineStr">
        <is>
          <t>BENGTSFORS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46221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46221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46221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46221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46221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46221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46221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46221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46221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46221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46221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46221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46221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46221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46221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74225-2021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44558</v>
      </c>
      <c r="E151" s="1" t="n">
        <v>46221</v>
      </c>
      <c r="F151" t="inlineStr">
        <is>
          <t>VÄSTRA GÖTALANDS LÄN</t>
        </is>
      </c>
      <c r="G151" t="inlineStr">
        <is>
          <t>BENGTSFORS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46221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40295-2022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44821</v>
      </c>
      <c r="E153" s="1" t="n">
        <v>46221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28763-2022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46221</v>
      </c>
      <c r="F154" t="inlineStr">
        <is>
          <t>VÄSTRA GÖTALANDS LÄN</t>
        </is>
      </c>
      <c r="G154" t="inlineStr">
        <is>
          <t>BENGTSFORS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60975-2021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46221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38247-2022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46221</v>
      </c>
      <c r="F156" t="inlineStr">
        <is>
          <t>VÄSTRA GÖTALANDS LÄN</t>
        </is>
      </c>
      <c r="G156" t="inlineStr">
        <is>
          <t>BENGTSFORS</t>
        </is>
      </c>
      <c r="H156" t="inlineStr">
        <is>
          <t>Övriga Aktiebolag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46221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13090-2025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46221</v>
      </c>
      <c r="F158" t="inlineStr">
        <is>
          <t>VÄSTRA GÖTALANDS LÄN</t>
        </is>
      </c>
      <c r="G158" t="inlineStr">
        <is>
          <t>BENGTSFORS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9739-2024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46221</v>
      </c>
      <c r="F159" t="inlineStr">
        <is>
          <t>VÄSTRA GÖTALANDS LÄN</t>
        </is>
      </c>
      <c r="G159" t="inlineStr">
        <is>
          <t>BENGTSFORS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16017-2024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46221</v>
      </c>
      <c r="F160" t="inlineStr">
        <is>
          <t>VÄSTRA GÖTALANDS LÄN</t>
        </is>
      </c>
      <c r="G160" t="inlineStr">
        <is>
          <t>BENGTSFORS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11918-2024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46221</v>
      </c>
      <c r="F161" t="inlineStr">
        <is>
          <t>VÄSTRA GÖTALANDS LÄN</t>
        </is>
      </c>
      <c r="G161" t="inlineStr">
        <is>
          <t>BENGTSFORS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47212-2023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46221</v>
      </c>
      <c r="F162" t="inlineStr">
        <is>
          <t>VÄSTRA GÖTALANDS LÄN</t>
        </is>
      </c>
      <c r="G162" t="inlineStr">
        <is>
          <t>BENGTSFORS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46534-2023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45197</v>
      </c>
      <c r="E163" s="1" t="n">
        <v>46221</v>
      </c>
      <c r="F163" t="inlineStr">
        <is>
          <t>VÄSTRA GÖTALANDS LÄN</t>
        </is>
      </c>
      <c r="G163" t="inlineStr">
        <is>
          <t>BENGTSFORS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12878-2024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45385</v>
      </c>
      <c r="E164" s="1" t="n">
        <v>46221</v>
      </c>
      <c r="F164" t="inlineStr">
        <is>
          <t>VÄSTRA GÖTALANDS LÄN</t>
        </is>
      </c>
      <c r="G164" t="inlineStr">
        <is>
          <t>BENGTSFORS</t>
        </is>
      </c>
      <c r="H164" t="inlineStr">
        <is>
          <t>Övriga Aktiebolag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49772-2023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46221</v>
      </c>
      <c r="F165" t="inlineStr">
        <is>
          <t>VÄSTRA GÖTALANDS LÄN</t>
        </is>
      </c>
      <c r="G165" t="inlineStr">
        <is>
          <t>BENGTSFORS</t>
        </is>
      </c>
      <c r="I165" t="n">
        <v>14.5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20090-2025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45772</v>
      </c>
      <c r="E166" s="1" t="n">
        <v>46221</v>
      </c>
      <c r="F166" t="inlineStr">
        <is>
          <t>VÄSTRA GÖTALANDS LÄN</t>
        </is>
      </c>
      <c r="G166" t="inlineStr">
        <is>
          <t>BENGTSFORS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20167-2025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46221</v>
      </c>
      <c r="F167" t="inlineStr">
        <is>
          <t>VÄSTRA GÖTALANDS LÄN</t>
        </is>
      </c>
      <c r="G167" t="inlineStr">
        <is>
          <t>BENGTSFORS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27552-2023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46221</v>
      </c>
      <c r="F168" t="inlineStr">
        <is>
          <t>VÄSTRA GÖTALANDS LÄN</t>
        </is>
      </c>
      <c r="G168" t="inlineStr">
        <is>
          <t>BENGTSFORS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20452-2025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45775</v>
      </c>
      <c r="E169" s="1" t="n">
        <v>46221</v>
      </c>
      <c r="F169" t="inlineStr">
        <is>
          <t>VÄSTRA GÖTALANDS LÄN</t>
        </is>
      </c>
      <c r="G169" t="inlineStr">
        <is>
          <t>BENGTSFORS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52902-2022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46221</v>
      </c>
      <c r="F170" t="inlineStr">
        <is>
          <t>VÄSTRA GÖTALANDS LÄN</t>
        </is>
      </c>
      <c r="G170" t="inlineStr">
        <is>
          <t>BENGTSFORS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9356-2024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46221</v>
      </c>
      <c r="F171" t="inlineStr">
        <is>
          <t>VÄSTRA GÖTALANDS LÄN</t>
        </is>
      </c>
      <c r="G171" t="inlineStr">
        <is>
          <t>BENGTSFORS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7263-2025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45702</v>
      </c>
      <c r="E172" s="1" t="n">
        <v>46221</v>
      </c>
      <c r="F172" t="inlineStr">
        <is>
          <t>VÄSTRA GÖTALANDS LÄN</t>
        </is>
      </c>
      <c r="G172" t="inlineStr">
        <is>
          <t>BENGTSFORS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41521-2022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44827</v>
      </c>
      <c r="E173" s="1" t="n">
        <v>46221</v>
      </c>
      <c r="F173" t="inlineStr">
        <is>
          <t>VÄSTRA GÖTALANDS LÄN</t>
        </is>
      </c>
      <c r="G173" t="inlineStr">
        <is>
          <t>BENGTSFORS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15661-2025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46221</v>
      </c>
      <c r="F174" t="inlineStr">
        <is>
          <t>VÄSTRA GÖTALANDS LÄN</t>
        </is>
      </c>
      <c r="G174" t="inlineStr">
        <is>
          <t>BENGTSFORS</t>
        </is>
      </c>
      <c r="H174" t="inlineStr">
        <is>
          <t>Kommuner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37199-2022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44806</v>
      </c>
      <c r="E175" s="1" t="n">
        <v>46221</v>
      </c>
      <c r="F175" t="inlineStr">
        <is>
          <t>VÄSTRA GÖTALANDS LÄN</t>
        </is>
      </c>
      <c r="G175" t="inlineStr">
        <is>
          <t>BENGTSFORS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10970-2024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45370</v>
      </c>
      <c r="E176" s="1" t="n">
        <v>46221</v>
      </c>
      <c r="F176" t="inlineStr">
        <is>
          <t>VÄSTRA GÖTALANDS LÄN</t>
        </is>
      </c>
      <c r="G176" t="inlineStr">
        <is>
          <t>BENGTSFORS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3308-2024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45317</v>
      </c>
      <c r="E177" s="1" t="n">
        <v>46221</v>
      </c>
      <c r="F177" t="inlineStr">
        <is>
          <t>VÄSTRA GÖTALANDS LÄN</t>
        </is>
      </c>
      <c r="G177" t="inlineStr">
        <is>
          <t>BENGTSFORS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44929</v>
      </c>
      <c r="E178" s="1" t="n">
        <v>46221</v>
      </c>
      <c r="F178" t="inlineStr">
        <is>
          <t>VÄSTRA GÖTALANDS LÄN</t>
        </is>
      </c>
      <c r="G178" t="inlineStr">
        <is>
          <t>BENGTSFORS</t>
        </is>
      </c>
      <c r="H178" t="inlineStr">
        <is>
          <t>Kyrkan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14397-2024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45394</v>
      </c>
      <c r="E179" s="1" t="n">
        <v>46221</v>
      </c>
      <c r="F179" t="inlineStr">
        <is>
          <t>VÄSTRA GÖTALANDS LÄN</t>
        </is>
      </c>
      <c r="G179" t="inlineStr">
        <is>
          <t>BENGTSFORS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50610-2022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46221</v>
      </c>
      <c r="F180" t="inlineStr">
        <is>
          <t>VÄSTRA GÖTALANDS LÄN</t>
        </is>
      </c>
      <c r="G180" t="inlineStr">
        <is>
          <t>BENGTSFORS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45302</v>
      </c>
      <c r="E181" s="1" t="n">
        <v>46221</v>
      </c>
      <c r="F181" t="inlineStr">
        <is>
          <t>VÄSTRA GÖTALANDS LÄN</t>
        </is>
      </c>
      <c r="G181" t="inlineStr">
        <is>
          <t>BENGTSFORS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32728-2024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45516</v>
      </c>
      <c r="E182" s="1" t="n">
        <v>46221</v>
      </c>
      <c r="F182" t="inlineStr">
        <is>
          <t>VÄSTRA GÖTALANDS LÄN</t>
        </is>
      </c>
      <c r="G182" t="inlineStr">
        <is>
          <t>BENGTSFORS</t>
        </is>
      </c>
      <c r="H182" t="inlineStr">
        <is>
          <t>Kyrkan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49409-2022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44861</v>
      </c>
      <c r="E183" s="1" t="n">
        <v>46221</v>
      </c>
      <c r="F183" t="inlineStr">
        <is>
          <t>VÄSTRA GÖTALANDS LÄN</t>
        </is>
      </c>
      <c r="G183" t="inlineStr">
        <is>
          <t>BENGTSFORS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28175-2024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45476</v>
      </c>
      <c r="E184" s="1" t="n">
        <v>46221</v>
      </c>
      <c r="F184" t="inlineStr">
        <is>
          <t>VÄSTRA GÖTALANDS LÄN</t>
        </is>
      </c>
      <c r="G184" t="inlineStr">
        <is>
          <t>BENGTSFORS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42640-2021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44428</v>
      </c>
      <c r="E185" s="1" t="n">
        <v>46221</v>
      </c>
      <c r="F185" t="inlineStr">
        <is>
          <t>VÄSTRA GÖTALANDS LÄN</t>
        </is>
      </c>
      <c r="G185" t="inlineStr">
        <is>
          <t>BENGTSFORS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45310</v>
      </c>
      <c r="E186" s="1" t="n">
        <v>46221</v>
      </c>
      <c r="F186" t="inlineStr">
        <is>
          <t>VÄSTRA GÖTALANDS LÄN</t>
        </is>
      </c>
      <c r="G186" t="inlineStr">
        <is>
          <t>BENGTSFORS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56090-2022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44887</v>
      </c>
      <c r="E187" s="1" t="n">
        <v>46221</v>
      </c>
      <c r="F187" t="inlineStr">
        <is>
          <t>VÄSTRA GÖTALANDS LÄN</t>
        </is>
      </c>
      <c r="G187" t="inlineStr">
        <is>
          <t>BENGTSFORS</t>
        </is>
      </c>
      <c r="H187" t="inlineStr">
        <is>
          <t>Kyrkan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56978-2022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46221</v>
      </c>
      <c r="F188" t="inlineStr">
        <is>
          <t>VÄSTRA GÖTALANDS LÄN</t>
        </is>
      </c>
      <c r="G188" t="inlineStr">
        <is>
          <t>BENGTSFORS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2165-2024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46221</v>
      </c>
      <c r="F189" t="inlineStr">
        <is>
          <t>VÄSTRA GÖTALANDS LÄN</t>
        </is>
      </c>
      <c r="G189" t="inlineStr">
        <is>
          <t>BENGTSFORS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64977-2021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44513</v>
      </c>
      <c r="E190" s="1" t="n">
        <v>46221</v>
      </c>
      <c r="F190" t="inlineStr">
        <is>
          <t>VÄSTRA GÖTALANDS LÄN</t>
        </is>
      </c>
      <c r="G190" t="inlineStr">
        <is>
          <t>BENGTSFORS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2803-2023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44944</v>
      </c>
      <c r="E191" s="1" t="n">
        <v>46221</v>
      </c>
      <c r="F191" t="inlineStr">
        <is>
          <t>VÄSTRA GÖTALANDS LÄN</t>
        </is>
      </c>
      <c r="G191" t="inlineStr">
        <is>
          <t>BENGTSFORS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44596</v>
      </c>
      <c r="E192" s="1" t="n">
        <v>46221</v>
      </c>
      <c r="F192" t="inlineStr">
        <is>
          <t>VÄSTRA GÖTALANDS LÄN</t>
        </is>
      </c>
      <c r="G192" t="inlineStr">
        <is>
          <t>BENGTSFORS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9099-2024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45357</v>
      </c>
      <c r="E193" s="1" t="n">
        <v>46221</v>
      </c>
      <c r="F193" t="inlineStr">
        <is>
          <t>VÄSTRA GÖTALANDS LÄN</t>
        </is>
      </c>
      <c r="G193" t="inlineStr">
        <is>
          <t>BENGTSFORS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11622-2024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46221</v>
      </c>
      <c r="F194" t="inlineStr">
        <is>
          <t>VÄSTRA GÖTALANDS LÄN</t>
        </is>
      </c>
      <c r="G194" t="inlineStr">
        <is>
          <t>BENGTSFORS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43696-2021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46221</v>
      </c>
      <c r="F195" t="inlineStr">
        <is>
          <t>VÄSTRA GÖTALANDS LÄN</t>
        </is>
      </c>
      <c r="G195" t="inlineStr">
        <is>
          <t>BENGTSFORS</t>
        </is>
      </c>
      <c r="I195" t="n">
        <v>15.5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44816-2024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46221</v>
      </c>
      <c r="F196" t="inlineStr">
        <is>
          <t>VÄSTRA GÖTALANDS LÄN</t>
        </is>
      </c>
      <c r="G196" t="inlineStr">
        <is>
          <t>BENGTSFORS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46221</v>
      </c>
      <c r="F197" t="inlineStr">
        <is>
          <t>VÄSTRA GÖTALANDS LÄN</t>
        </is>
      </c>
      <c r="G197" t="inlineStr">
        <is>
          <t>BENGTSFORS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46041</v>
      </c>
      <c r="E198" s="1" t="n">
        <v>46221</v>
      </c>
      <c r="F198" t="inlineStr">
        <is>
          <t>VÄSTRA GÖTALANDS LÄN</t>
        </is>
      </c>
      <c r="G198" t="inlineStr">
        <is>
          <t>BENGTSFORS</t>
        </is>
      </c>
      <c r="H198" t="inlineStr">
        <is>
          <t>Kyrkan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59615-2022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44907</v>
      </c>
      <c r="E199" s="1" t="n">
        <v>46221</v>
      </c>
      <c r="F199" t="inlineStr">
        <is>
          <t>VÄSTRA GÖTALANDS LÄN</t>
        </is>
      </c>
      <c r="G199" t="inlineStr">
        <is>
          <t>BENGTSFORS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10882-2025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46221</v>
      </c>
      <c r="F200" t="inlineStr">
        <is>
          <t>VÄSTRA GÖTALANDS LÄN</t>
        </is>
      </c>
      <c r="G200" t="inlineStr">
        <is>
          <t>BENGTSFORS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12292-2024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45378</v>
      </c>
      <c r="E201" s="1" t="n">
        <v>46221</v>
      </c>
      <c r="F201" t="inlineStr">
        <is>
          <t>VÄSTRA GÖTALANDS LÄN</t>
        </is>
      </c>
      <c r="G201" t="inlineStr">
        <is>
          <t>BENGTSFORS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41166-2024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45559</v>
      </c>
      <c r="E202" s="1" t="n">
        <v>46221</v>
      </c>
      <c r="F202" t="inlineStr">
        <is>
          <t>VÄSTRA GÖTALANDS LÄN</t>
        </is>
      </c>
      <c r="G202" t="inlineStr">
        <is>
          <t>BENGTSFORS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56681-2022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46221</v>
      </c>
      <c r="F203" t="inlineStr">
        <is>
          <t>VÄSTRA GÖTALANDS LÄN</t>
        </is>
      </c>
      <c r="G203" t="inlineStr">
        <is>
          <t>BENGTSFORS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73594-2021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44552</v>
      </c>
      <c r="E204" s="1" t="n">
        <v>46221</v>
      </c>
      <c r="F204" t="inlineStr">
        <is>
          <t>VÄSTRA GÖTALANDS LÄN</t>
        </is>
      </c>
      <c r="G204" t="inlineStr">
        <is>
          <t>BENGTSFORS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44943</v>
      </c>
      <c r="E205" s="1" t="n">
        <v>46221</v>
      </c>
      <c r="F205" t="inlineStr">
        <is>
          <t>VÄSTRA GÖTALANDS LÄN</t>
        </is>
      </c>
      <c r="G205" t="inlineStr">
        <is>
          <t>BENGTSFORS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46221</v>
      </c>
      <c r="F206" t="inlineStr">
        <is>
          <t>VÄSTRA GÖTALANDS LÄN</t>
        </is>
      </c>
      <c r="G206" t="inlineStr">
        <is>
          <t>BENGTSFORS</t>
        </is>
      </c>
      <c r="H206" t="inlineStr">
        <is>
          <t>Övriga Aktiebolag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46745-2023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46221</v>
      </c>
      <c r="F207" t="inlineStr">
        <is>
          <t>VÄSTRA GÖTALANDS LÄN</t>
        </is>
      </c>
      <c r="G207" t="inlineStr">
        <is>
          <t>BENGTSFORS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37736-2024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46221</v>
      </c>
      <c r="F208" t="inlineStr">
        <is>
          <t>VÄSTRA GÖTALANDS LÄN</t>
        </is>
      </c>
      <c r="G208" t="inlineStr">
        <is>
          <t>BENGTSFORS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9523-2022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44617</v>
      </c>
      <c r="E209" s="1" t="n">
        <v>46221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Kyrkan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13145-2025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46221</v>
      </c>
      <c r="F210" t="inlineStr">
        <is>
          <t>VÄSTRA GÖTALANDS LÄN</t>
        </is>
      </c>
      <c r="G210" t="inlineStr">
        <is>
          <t>BENGTSFORS</t>
        </is>
      </c>
      <c r="I210" t="n">
        <v>12.1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28304-2025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46221</v>
      </c>
      <c r="F211" t="inlineStr">
        <is>
          <t>VÄSTRA GÖTALANDS LÄN</t>
        </is>
      </c>
      <c r="G211" t="inlineStr">
        <is>
          <t>BENGTSFORS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41229-2024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45559</v>
      </c>
      <c r="E212" s="1" t="n">
        <v>46221</v>
      </c>
      <c r="F212" t="inlineStr">
        <is>
          <t>VÄSTRA GÖTALANDS LÄN</t>
        </is>
      </c>
      <c r="G212" t="inlineStr">
        <is>
          <t>BENGTSFORS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27838-2025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46221</v>
      </c>
      <c r="F213" t="inlineStr">
        <is>
          <t>VÄSTRA GÖTALANDS LÄN</t>
        </is>
      </c>
      <c r="G213" t="inlineStr">
        <is>
          <t>BENGTSFORS</t>
        </is>
      </c>
      <c r="H213" t="inlineStr">
        <is>
          <t>Övriga Aktiebolag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27986-2025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45817</v>
      </c>
      <c r="E214" s="1" t="n">
        <v>46221</v>
      </c>
      <c r="F214" t="inlineStr">
        <is>
          <t>VÄSTRA GÖTALANDS LÄN</t>
        </is>
      </c>
      <c r="G214" t="inlineStr">
        <is>
          <t>BENGTSFORS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46221</v>
      </c>
      <c r="F215" t="inlineStr">
        <is>
          <t>VÄSTRA GÖTALANDS LÄN</t>
        </is>
      </c>
      <c r="G215" t="inlineStr">
        <is>
          <t>BENGTSFORS</t>
        </is>
      </c>
      <c r="H215" t="inlineStr">
        <is>
          <t>Övriga Aktiebolag</t>
        </is>
      </c>
      <c r="I215" t="n">
        <v>12.7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4030-2026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46221</v>
      </c>
      <c r="F216" t="inlineStr">
        <is>
          <t>VÄSTRA GÖTALANDS LÄN</t>
        </is>
      </c>
      <c r="G216" t="inlineStr">
        <is>
          <t>BENGTSFORS</t>
        </is>
      </c>
      <c r="H216" t="inlineStr">
        <is>
          <t>Övriga Aktiebolag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27983-2025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46221</v>
      </c>
      <c r="F217" t="inlineStr">
        <is>
          <t>VÄSTRA GÖTALANDS LÄN</t>
        </is>
      </c>
      <c r="G217" t="inlineStr">
        <is>
          <t>BENGTSFORS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6452-2025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45699</v>
      </c>
      <c r="E218" s="1" t="n">
        <v>46221</v>
      </c>
      <c r="F218" t="inlineStr">
        <is>
          <t>VÄSTRA GÖTALANDS LÄN</t>
        </is>
      </c>
      <c r="G218" t="inlineStr">
        <is>
          <t>BENGTSFORS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29771-2025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46221</v>
      </c>
      <c r="F219" t="inlineStr">
        <is>
          <t>VÄSTRA GÖTALANDS LÄN</t>
        </is>
      </c>
      <c r="G219" t="inlineStr">
        <is>
          <t>BENGTSFORS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28320-2025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45818</v>
      </c>
      <c r="E220" s="1" t="n">
        <v>46221</v>
      </c>
      <c r="F220" t="inlineStr">
        <is>
          <t>VÄSTRA GÖTALANDS LÄN</t>
        </is>
      </c>
      <c r="G220" t="inlineStr">
        <is>
          <t>BENGTSFORS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38967-2025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45886</v>
      </c>
      <c r="E221" s="1" t="n">
        <v>46221</v>
      </c>
      <c r="F221" t="inlineStr">
        <is>
          <t>VÄSTRA GÖTALANDS LÄN</t>
        </is>
      </c>
      <c r="G221" t="inlineStr">
        <is>
          <t>BENGTSFORS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27009-2025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45811</v>
      </c>
      <c r="E222" s="1" t="n">
        <v>46221</v>
      </c>
      <c r="F222" t="inlineStr">
        <is>
          <t>VÄSTRA GÖTALANDS LÄN</t>
        </is>
      </c>
      <c r="G222" t="inlineStr">
        <is>
          <t>BENGTSFORS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8986-2024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46221</v>
      </c>
      <c r="F223" t="inlineStr">
        <is>
          <t>VÄSTRA GÖTALANDS LÄN</t>
        </is>
      </c>
      <c r="G223" t="inlineStr">
        <is>
          <t>BENGTSFORS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13346-2024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46221</v>
      </c>
      <c r="F224" t="inlineStr">
        <is>
          <t>VÄSTRA GÖTALANDS LÄN</t>
        </is>
      </c>
      <c r="G224" t="inlineStr">
        <is>
          <t>BENGTSFORS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23703-2025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46221</v>
      </c>
      <c r="F225" t="inlineStr">
        <is>
          <t>VÄSTRA GÖTALANDS LÄN</t>
        </is>
      </c>
      <c r="G225" t="inlineStr">
        <is>
          <t>BENGTSFORS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39607-2025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45890</v>
      </c>
      <c r="E226" s="1" t="n">
        <v>46221</v>
      </c>
      <c r="F226" t="inlineStr">
        <is>
          <t>VÄSTRA GÖTALANDS LÄN</t>
        </is>
      </c>
      <c r="G226" t="inlineStr">
        <is>
          <t>BENGTSFORS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9214-2024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46221</v>
      </c>
      <c r="F227" t="inlineStr">
        <is>
          <t>VÄSTRA GÖTALANDS LÄN</t>
        </is>
      </c>
      <c r="G227" t="inlineStr">
        <is>
          <t>BENGTSFORS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39339-2025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45889</v>
      </c>
      <c r="E228" s="1" t="n">
        <v>46221</v>
      </c>
      <c r="F228" t="inlineStr">
        <is>
          <t>VÄSTRA GÖTALANDS LÄN</t>
        </is>
      </c>
      <c r="G228" t="inlineStr">
        <is>
          <t>BENGTSFORS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39333-2025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45889</v>
      </c>
      <c r="E229" s="1" t="n">
        <v>46221</v>
      </c>
      <c r="F229" t="inlineStr">
        <is>
          <t>VÄSTRA GÖTALANDS LÄN</t>
        </is>
      </c>
      <c r="G229" t="inlineStr">
        <is>
          <t>BENGTSFORS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15080-2024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45399</v>
      </c>
      <c r="E230" s="1" t="n">
        <v>46221</v>
      </c>
      <c r="F230" t="inlineStr">
        <is>
          <t>VÄSTRA GÖTALANDS LÄN</t>
        </is>
      </c>
      <c r="G230" t="inlineStr">
        <is>
          <t>BENGTSFORS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45663</v>
      </c>
      <c r="E231" s="1" t="n">
        <v>46221</v>
      </c>
      <c r="F231" t="inlineStr">
        <is>
          <t>VÄSTRA GÖTALANDS LÄN</t>
        </is>
      </c>
      <c r="G231" t="inlineStr">
        <is>
          <t>BENGTSFORS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45663</v>
      </c>
      <c r="E232" s="1" t="n">
        <v>46221</v>
      </c>
      <c r="F232" t="inlineStr">
        <is>
          <t>VÄSTRA GÖTALANDS LÄN</t>
        </is>
      </c>
      <c r="G232" t="inlineStr">
        <is>
          <t>BENGTSFORS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40066-2025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45894</v>
      </c>
      <c r="E233" s="1" t="n">
        <v>46221</v>
      </c>
      <c r="F233" t="inlineStr">
        <is>
          <t>VÄSTRA GÖTALANDS LÄN</t>
        </is>
      </c>
      <c r="G233" t="inlineStr">
        <is>
          <t>BENGTSFORS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30069-2025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46221</v>
      </c>
      <c r="F234" t="inlineStr">
        <is>
          <t>VÄSTRA GÖTALANDS LÄN</t>
        </is>
      </c>
      <c r="G234" t="inlineStr">
        <is>
          <t>BENGTSFORS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29594-2025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45825</v>
      </c>
      <c r="E235" s="1" t="n">
        <v>46221</v>
      </c>
      <c r="F235" t="inlineStr">
        <is>
          <t>VÄSTRA GÖTALANDS LÄN</t>
        </is>
      </c>
      <c r="G235" t="inlineStr">
        <is>
          <t>BENGTSFORS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46221</v>
      </c>
      <c r="F236" t="inlineStr">
        <is>
          <t>VÄSTRA GÖTALANDS LÄN</t>
        </is>
      </c>
      <c r="G236" t="inlineStr">
        <is>
          <t>BENGTSFORS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55882-2021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44476</v>
      </c>
      <c r="E237" s="1" t="n">
        <v>46221</v>
      </c>
      <c r="F237" t="inlineStr">
        <is>
          <t>VÄSTRA GÖTALANDS LÄN</t>
        </is>
      </c>
      <c r="G237" t="inlineStr">
        <is>
          <t>BENGTSFORS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15727-2024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45404</v>
      </c>
      <c r="E238" s="1" t="n">
        <v>46221</v>
      </c>
      <c r="F238" t="inlineStr">
        <is>
          <t>VÄSTRA GÖTALANDS LÄN</t>
        </is>
      </c>
      <c r="G238" t="inlineStr">
        <is>
          <t>BENGTSFORS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31381-2025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46221</v>
      </c>
      <c r="F239" t="inlineStr">
        <is>
          <t>VÄSTRA GÖTALANDS LÄN</t>
        </is>
      </c>
      <c r="G239" t="inlineStr">
        <is>
          <t>BENGTSFORS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41402-2025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46221</v>
      </c>
      <c r="F240" t="inlineStr">
        <is>
          <t>VÄSTRA GÖTALANDS LÄN</t>
        </is>
      </c>
      <c r="G240" t="inlineStr">
        <is>
          <t>BENGTSFORS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2522-2023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44943</v>
      </c>
      <c r="E241" s="1" t="n">
        <v>46221</v>
      </c>
      <c r="F241" t="inlineStr">
        <is>
          <t>VÄSTRA GÖTALANDS LÄN</t>
        </is>
      </c>
      <c r="G241" t="inlineStr">
        <is>
          <t>BENGTSFORS</t>
        </is>
      </c>
      <c r="I241" t="n">
        <v>15.6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41806-2025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45902</v>
      </c>
      <c r="E242" s="1" t="n">
        <v>46221</v>
      </c>
      <c r="F242" t="inlineStr">
        <is>
          <t>VÄSTRA GÖTALANDS LÄN</t>
        </is>
      </c>
      <c r="G242" t="inlineStr">
        <is>
          <t>BENGTSFORS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46049</v>
      </c>
      <c r="E243" s="1" t="n">
        <v>46221</v>
      </c>
      <c r="F243" t="inlineStr">
        <is>
          <t>VÄSTRA GÖTALANDS LÄN</t>
        </is>
      </c>
      <c r="G243" t="inlineStr">
        <is>
          <t>BENGTSFORS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22607-2023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46221</v>
      </c>
      <c r="F244" t="inlineStr">
        <is>
          <t>VÄSTRA GÖTALANDS LÄN</t>
        </is>
      </c>
      <c r="G244" t="inlineStr">
        <is>
          <t>BENGTSFORS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46221</v>
      </c>
      <c r="F245" t="inlineStr">
        <is>
          <t>VÄSTRA GÖTALANDS LÄN</t>
        </is>
      </c>
      <c r="G245" t="inlineStr">
        <is>
          <t>BENGTSFORS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41985-2025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45903</v>
      </c>
      <c r="E246" s="1" t="n">
        <v>46221</v>
      </c>
      <c r="F246" t="inlineStr">
        <is>
          <t>VÄSTRA GÖTALANDS LÄN</t>
        </is>
      </c>
      <c r="G246" t="inlineStr">
        <is>
          <t>BENGTSFORS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31816-2025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46221</v>
      </c>
      <c r="F247" t="inlineStr">
        <is>
          <t>VÄSTRA GÖTALANDS LÄN</t>
        </is>
      </c>
      <c r="G247" t="inlineStr">
        <is>
          <t>BENGTSFORS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42425-2025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46221</v>
      </c>
      <c r="F248" t="inlineStr">
        <is>
          <t>VÄSTRA GÖTALANDS LÄN</t>
        </is>
      </c>
      <c r="G248" t="inlineStr">
        <is>
          <t>BENGTSFORS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49132-2025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46221</v>
      </c>
      <c r="F249" t="inlineStr">
        <is>
          <t>VÄSTRA GÖTALANDS LÄN</t>
        </is>
      </c>
      <c r="G249" t="inlineStr">
        <is>
          <t>BENGTSFORS</t>
        </is>
      </c>
      <c r="I249" t="n">
        <v>12.4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41860-2023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45176</v>
      </c>
      <c r="E250" s="1" t="n">
        <v>46221</v>
      </c>
      <c r="F250" t="inlineStr">
        <is>
          <t>VÄSTRA GÖTALANDS LÄN</t>
        </is>
      </c>
      <c r="G250" t="inlineStr">
        <is>
          <t>BENGTSFORS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44315-2025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45916</v>
      </c>
      <c r="E251" s="1" t="n">
        <v>46221</v>
      </c>
      <c r="F251" t="inlineStr">
        <is>
          <t>VÄSTRA GÖTALANDS LÄN</t>
        </is>
      </c>
      <c r="G251" t="inlineStr">
        <is>
          <t>BENGTSFORS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43918-2025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45914</v>
      </c>
      <c r="E252" s="1" t="n">
        <v>46221</v>
      </c>
      <c r="F252" t="inlineStr">
        <is>
          <t>VÄSTRA GÖTALANDS LÄN</t>
        </is>
      </c>
      <c r="G252" t="inlineStr">
        <is>
          <t>BENGTSFORS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19086-2025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45766</v>
      </c>
      <c r="E253" s="1" t="n">
        <v>46221</v>
      </c>
      <c r="F253" t="inlineStr">
        <is>
          <t>VÄSTRA GÖTALANDS LÄN</t>
        </is>
      </c>
      <c r="G253" t="inlineStr">
        <is>
          <t>BENGTSFORS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43920-2025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45914</v>
      </c>
      <c r="E254" s="1" t="n">
        <v>46221</v>
      </c>
      <c r="F254" t="inlineStr">
        <is>
          <t>VÄSTRA GÖTALANDS LÄN</t>
        </is>
      </c>
      <c r="G254" t="inlineStr">
        <is>
          <t>BENGTSFORS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43921-2025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45914</v>
      </c>
      <c r="E255" s="1" t="n">
        <v>46221</v>
      </c>
      <c r="F255" t="inlineStr">
        <is>
          <t>VÄSTRA GÖTALANDS LÄN</t>
        </is>
      </c>
      <c r="G255" t="inlineStr">
        <is>
          <t>BENGTSFORS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46221</v>
      </c>
      <c r="F256" t="inlineStr">
        <is>
          <t>VÄSTRA GÖTALANDS LÄN</t>
        </is>
      </c>
      <c r="G256" t="inlineStr">
        <is>
          <t>BENGTSFORS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6368-2026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46055</v>
      </c>
      <c r="E257" s="1" t="n">
        <v>46221</v>
      </c>
      <c r="F257" t="inlineStr">
        <is>
          <t>VÄSTRA GÖTALANDS LÄN</t>
        </is>
      </c>
      <c r="G257" t="inlineStr">
        <is>
          <t>BENGTSFORS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55918-2024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45623</v>
      </c>
      <c r="E258" s="1" t="n">
        <v>46221</v>
      </c>
      <c r="F258" t="inlineStr">
        <is>
          <t>VÄSTRA GÖTALANDS LÄN</t>
        </is>
      </c>
      <c r="G258" t="inlineStr">
        <is>
          <t>BENGTSFORS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20526-2025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46221</v>
      </c>
      <c r="F259" t="inlineStr">
        <is>
          <t>VÄSTRA GÖTALANDS LÄN</t>
        </is>
      </c>
      <c r="G259" t="inlineStr">
        <is>
          <t>BENGTSFORS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43277-2022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44834</v>
      </c>
      <c r="E260" s="1" t="n">
        <v>46221</v>
      </c>
      <c r="F260" t="inlineStr">
        <is>
          <t>VÄSTRA GÖTALANDS LÄN</t>
        </is>
      </c>
      <c r="G260" t="inlineStr">
        <is>
          <t>BENGTSFORS</t>
        </is>
      </c>
      <c r="H260" t="inlineStr">
        <is>
          <t>Kyrkan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62316-2022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44916</v>
      </c>
      <c r="E261" s="1" t="n">
        <v>46221</v>
      </c>
      <c r="F261" t="inlineStr">
        <is>
          <t>VÄSTRA GÖTALANDS LÄN</t>
        </is>
      </c>
      <c r="G261" t="inlineStr">
        <is>
          <t>BENGTSFORS</t>
        </is>
      </c>
      <c r="H261" t="inlineStr">
        <is>
          <t>Bergvik skog väst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14757-2025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45742</v>
      </c>
      <c r="E262" s="1" t="n">
        <v>46221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61047-2024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45645</v>
      </c>
      <c r="E263" s="1" t="n">
        <v>46221</v>
      </c>
      <c r="F263" t="inlineStr">
        <is>
          <t>VÄSTRA GÖTALANDS LÄN</t>
        </is>
      </c>
      <c r="G263" t="inlineStr">
        <is>
          <t>BENGTSFORS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35815-2025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45861</v>
      </c>
      <c r="E264" s="1" t="n">
        <v>46221</v>
      </c>
      <c r="F264" t="inlineStr">
        <is>
          <t>VÄSTRA GÖTALANDS LÄN</t>
        </is>
      </c>
      <c r="G264" t="inlineStr">
        <is>
          <t>BENGTSFORS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47884-2025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46221</v>
      </c>
      <c r="F265" t="inlineStr">
        <is>
          <t>VÄSTRA GÖTALANDS LÄN</t>
        </is>
      </c>
      <c r="G265" t="inlineStr">
        <is>
          <t>BENGTSFORS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29800-2023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45107</v>
      </c>
      <c r="E266" s="1" t="n">
        <v>46221</v>
      </c>
      <c r="F266" t="inlineStr">
        <is>
          <t>VÄSTRA GÖTALANDS LÄN</t>
        </is>
      </c>
      <c r="G266" t="inlineStr">
        <is>
          <t>BENGTSFORS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61943-2022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46221</v>
      </c>
      <c r="F267" t="inlineStr">
        <is>
          <t>VÄSTRA GÖTALANDS LÄN</t>
        </is>
      </c>
      <c r="G267" t="inlineStr">
        <is>
          <t>BENGTSFORS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48752-2025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46221</v>
      </c>
      <c r="F268" t="inlineStr">
        <is>
          <t>VÄSTRA GÖTALANDS LÄN</t>
        </is>
      </c>
      <c r="G268" t="inlineStr">
        <is>
          <t>BENGTSFORS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44958</v>
      </c>
      <c r="E269" s="1" t="n">
        <v>46221</v>
      </c>
      <c r="F269" t="inlineStr">
        <is>
          <t>VÄSTRA GÖTALANDS LÄN</t>
        </is>
      </c>
      <c r="G269" t="inlineStr">
        <is>
          <t>BENGTSFORS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41784-2022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44827</v>
      </c>
      <c r="E270" s="1" t="n">
        <v>46221</v>
      </c>
      <c r="F270" t="inlineStr">
        <is>
          <t>VÄSTRA GÖTALANDS LÄN</t>
        </is>
      </c>
      <c r="G270" t="inlineStr">
        <is>
          <t>BENGTSFORS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39917-2021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44417</v>
      </c>
      <c r="E271" s="1" t="n">
        <v>46221</v>
      </c>
      <c r="F271" t="inlineStr">
        <is>
          <t>VÄSTRA GÖTALANDS LÄN</t>
        </is>
      </c>
      <c r="G271" t="inlineStr">
        <is>
          <t>BENGTSFORS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65763-2021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44516</v>
      </c>
      <c r="E272" s="1" t="n">
        <v>46221</v>
      </c>
      <c r="F272" t="inlineStr">
        <is>
          <t>VÄSTRA GÖTALANDS LÄN</t>
        </is>
      </c>
      <c r="G272" t="inlineStr">
        <is>
          <t>BENGTSFORS</t>
        </is>
      </c>
      <c r="I272" t="n">
        <v>8.6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72046-2021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44544</v>
      </c>
      <c r="E273" s="1" t="n">
        <v>46221</v>
      </c>
      <c r="F273" t="inlineStr">
        <is>
          <t>VÄSTRA GÖTALANDS LÄN</t>
        </is>
      </c>
      <c r="G273" t="inlineStr">
        <is>
          <t>BENGTSFORS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22200-2025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45785</v>
      </c>
      <c r="E274" s="1" t="n">
        <v>46221</v>
      </c>
      <c r="F274" t="inlineStr">
        <is>
          <t>VÄSTRA GÖTALANDS LÄN</t>
        </is>
      </c>
      <c r="G274" t="inlineStr">
        <is>
          <t>BENGTSFORS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55968-2024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45623</v>
      </c>
      <c r="E275" s="1" t="n">
        <v>46221</v>
      </c>
      <c r="F275" t="inlineStr">
        <is>
          <t>VÄSTRA GÖTALANDS LÄN</t>
        </is>
      </c>
      <c r="G275" t="inlineStr">
        <is>
          <t>BENGTSFORS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48690-2025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46221</v>
      </c>
      <c r="F276" t="inlineStr">
        <is>
          <t>VÄSTRA GÖTALANDS LÄN</t>
        </is>
      </c>
      <c r="G276" t="inlineStr">
        <is>
          <t>BENGTSFORS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36219-2025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45867</v>
      </c>
      <c r="E277" s="1" t="n">
        <v>46221</v>
      </c>
      <c r="F277" t="inlineStr">
        <is>
          <t>VÄSTRA GÖTALANDS LÄN</t>
        </is>
      </c>
      <c r="G277" t="inlineStr">
        <is>
          <t>BENGTSFORS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61237-2024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46221</v>
      </c>
      <c r="F278" t="inlineStr">
        <is>
          <t>VÄSTRA GÖTALANDS LÄN</t>
        </is>
      </c>
      <c r="G278" t="inlineStr">
        <is>
          <t>BENGTSFORS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7328-2026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46221</v>
      </c>
      <c r="F279" t="inlineStr">
        <is>
          <t>VÄSTRA GÖTALANDS LÄN</t>
        </is>
      </c>
      <c r="G279" t="inlineStr">
        <is>
          <t>BENGTSFORS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7189-2026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46221</v>
      </c>
      <c r="F280" t="inlineStr">
        <is>
          <t>VÄSTRA GÖTALANDS LÄN</t>
        </is>
      </c>
      <c r="G280" t="inlineStr">
        <is>
          <t>BENGTSFORS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66391-2021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44518</v>
      </c>
      <c r="E281" s="1" t="n">
        <v>46221</v>
      </c>
      <c r="F281" t="inlineStr">
        <is>
          <t>VÄSTRA GÖTALANDS LÄN</t>
        </is>
      </c>
      <c r="G281" t="inlineStr">
        <is>
          <t>BENGTSFORS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2956-2022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44581</v>
      </c>
      <c r="E282" s="1" t="n">
        <v>46221</v>
      </c>
      <c r="F282" t="inlineStr">
        <is>
          <t>VÄSTRA GÖTALANDS LÄN</t>
        </is>
      </c>
      <c r="G282" t="inlineStr">
        <is>
          <t>BENGTSFORS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49399-2025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45938</v>
      </c>
      <c r="E283" s="1" t="n">
        <v>46221</v>
      </c>
      <c r="F283" t="inlineStr">
        <is>
          <t>VÄSTRA GÖTALANDS LÄN</t>
        </is>
      </c>
      <c r="G283" t="inlineStr">
        <is>
          <t>BENGTSFORS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49020-2025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46221</v>
      </c>
      <c r="F284" t="inlineStr">
        <is>
          <t>VÄSTRA GÖTALANDS LÄN</t>
        </is>
      </c>
      <c r="G284" t="inlineStr">
        <is>
          <t>BENGTSFORS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49889-2025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46221</v>
      </c>
      <c r="F285" t="inlineStr">
        <is>
          <t>VÄSTRA GÖTALANDS LÄN</t>
        </is>
      </c>
      <c r="G285" t="inlineStr">
        <is>
          <t>BENGTSFORS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49886-2025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45940</v>
      </c>
      <c r="E286" s="1" t="n">
        <v>46221</v>
      </c>
      <c r="F286" t="inlineStr">
        <is>
          <t>VÄSTRA GÖTALANDS LÄN</t>
        </is>
      </c>
      <c r="G286" t="inlineStr">
        <is>
          <t>BENGTSFORS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12132-2023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44998</v>
      </c>
      <c r="E287" s="1" t="n">
        <v>46221</v>
      </c>
      <c r="F287" t="inlineStr">
        <is>
          <t>VÄSTRA GÖTALANDS LÄN</t>
        </is>
      </c>
      <c r="G287" t="inlineStr">
        <is>
          <t>BENGTSFORS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49851-2025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46221</v>
      </c>
      <c r="F288" t="inlineStr">
        <is>
          <t>VÄSTRA GÖTALANDS LÄN</t>
        </is>
      </c>
      <c r="G288" t="inlineStr">
        <is>
          <t>BENGTSFORS</t>
        </is>
      </c>
      <c r="H288" t="inlineStr">
        <is>
          <t>Övriga Aktiebolag</t>
        </is>
      </c>
      <c r="I288" t="n">
        <v>10.5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49853-2025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45940</v>
      </c>
      <c r="E289" s="1" t="n">
        <v>46221</v>
      </c>
      <c r="F289" t="inlineStr">
        <is>
          <t>VÄSTRA GÖTALANDS LÄN</t>
        </is>
      </c>
      <c r="G289" t="inlineStr">
        <is>
          <t>BENGTSFORS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31852-2024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45509</v>
      </c>
      <c r="E290" s="1" t="n">
        <v>46221</v>
      </c>
      <c r="F290" t="inlineStr">
        <is>
          <t>VÄSTRA GÖTALANDS LÄN</t>
        </is>
      </c>
      <c r="G290" t="inlineStr">
        <is>
          <t>BENGTSFORS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50175-2025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45943</v>
      </c>
      <c r="E291" s="1" t="n">
        <v>46221</v>
      </c>
      <c r="F291" t="inlineStr">
        <is>
          <t>VÄSTRA GÖTALANDS LÄN</t>
        </is>
      </c>
      <c r="G291" t="inlineStr">
        <is>
          <t>BENGTSFORS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50042-2025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46221</v>
      </c>
      <c r="F292" t="inlineStr">
        <is>
          <t>VÄSTRA GÖTALANDS LÄN</t>
        </is>
      </c>
      <c r="G292" t="inlineStr">
        <is>
          <t>BENGTSFORS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44982-2024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45575</v>
      </c>
      <c r="E293" s="1" t="n">
        <v>46221</v>
      </c>
      <c r="F293" t="inlineStr">
        <is>
          <t>VÄSTRA GÖTALANDS LÄN</t>
        </is>
      </c>
      <c r="G293" t="inlineStr">
        <is>
          <t>BENGTSFORS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50047-2025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46221</v>
      </c>
      <c r="F294" t="inlineStr">
        <is>
          <t>VÄSTRA GÖTALANDS LÄN</t>
        </is>
      </c>
      <c r="G294" t="inlineStr">
        <is>
          <t>BENGTSFORS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46221</v>
      </c>
      <c r="F295" t="inlineStr">
        <is>
          <t>VÄSTRA GÖTALANDS LÄN</t>
        </is>
      </c>
      <c r="G295" t="inlineStr">
        <is>
          <t>BENGTSFORS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35246-2024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45530</v>
      </c>
      <c r="E296" s="1" t="n">
        <v>46221</v>
      </c>
      <c r="F296" t="inlineStr">
        <is>
          <t>VÄSTRA GÖTALANDS LÄN</t>
        </is>
      </c>
      <c r="G296" t="inlineStr">
        <is>
          <t>BENGTSFORS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37549-2025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45879</v>
      </c>
      <c r="E297" s="1" t="n">
        <v>46221</v>
      </c>
      <c r="F297" t="inlineStr">
        <is>
          <t>VÄSTRA GÖTALANDS LÄN</t>
        </is>
      </c>
      <c r="G297" t="inlineStr">
        <is>
          <t>BENGTSFORS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13074-2024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46221</v>
      </c>
      <c r="F298" t="inlineStr">
        <is>
          <t>VÄSTRA GÖTALANDS LÄN</t>
        </is>
      </c>
      <c r="G298" t="inlineStr">
        <is>
          <t>BENGTSFORS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37646-2025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45880</v>
      </c>
      <c r="E299" s="1" t="n">
        <v>46221</v>
      </c>
      <c r="F299" t="inlineStr">
        <is>
          <t>VÄSTRA GÖTALANDS LÄN</t>
        </is>
      </c>
      <c r="G299" t="inlineStr">
        <is>
          <t>BENGTSFORS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44951</v>
      </c>
      <c r="E300" s="1" t="n">
        <v>46221</v>
      </c>
      <c r="F300" t="inlineStr">
        <is>
          <t>VÄSTRA GÖTALANDS LÄN</t>
        </is>
      </c>
      <c r="G300" t="inlineStr">
        <is>
          <t>BENGTSFORS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37929-2025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45881</v>
      </c>
      <c r="E301" s="1" t="n">
        <v>46221</v>
      </c>
      <c r="F301" t="inlineStr">
        <is>
          <t>VÄSTRA GÖTALANDS LÄN</t>
        </is>
      </c>
      <c r="G301" t="inlineStr">
        <is>
          <t>BENGTSFORS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59621-2024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45638</v>
      </c>
      <c r="E302" s="1" t="n">
        <v>46221</v>
      </c>
      <c r="F302" t="inlineStr">
        <is>
          <t>VÄSTRA GÖTALANDS LÄN</t>
        </is>
      </c>
      <c r="G302" t="inlineStr">
        <is>
          <t>BENGTSFORS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50510-2025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46221</v>
      </c>
      <c r="F303" t="inlineStr">
        <is>
          <t>VÄSTRA GÖTALANDS LÄN</t>
        </is>
      </c>
      <c r="G303" t="inlineStr">
        <is>
          <t>BENGTSFORS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50517-2025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46221</v>
      </c>
      <c r="F304" t="inlineStr">
        <is>
          <t>VÄSTRA GÖTALANDS LÄN</t>
        </is>
      </c>
      <c r="G304" t="inlineStr">
        <is>
          <t>BENGTSFORS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53971-2024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46221</v>
      </c>
      <c r="F305" t="inlineStr">
        <is>
          <t>VÄSTRA GÖTALANDS LÄN</t>
        </is>
      </c>
      <c r="G305" t="inlineStr">
        <is>
          <t>BENGTSFORS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51003-2025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45947</v>
      </c>
      <c r="E306" s="1" t="n">
        <v>46221</v>
      </c>
      <c r="F306" t="inlineStr">
        <is>
          <t>VÄSTRA GÖTALANDS LÄN</t>
        </is>
      </c>
      <c r="G306" t="inlineStr">
        <is>
          <t>BENGTSFORS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29696-2022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44755</v>
      </c>
      <c r="E307" s="1" t="n">
        <v>46221</v>
      </c>
      <c r="F307" t="inlineStr">
        <is>
          <t>VÄSTRA GÖTALANDS LÄN</t>
        </is>
      </c>
      <c r="G307" t="inlineStr">
        <is>
          <t>BENGTSFORS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51741-2025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45951</v>
      </c>
      <c r="E308" s="1" t="n">
        <v>46221</v>
      </c>
      <c r="F308" t="inlineStr">
        <is>
          <t>VÄSTRA GÖTALANDS LÄN</t>
        </is>
      </c>
      <c r="G308" t="inlineStr">
        <is>
          <t>BENGTSFORS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51743-2025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46221</v>
      </c>
      <c r="F309" t="inlineStr">
        <is>
          <t>VÄSTRA GÖTALANDS LÄN</t>
        </is>
      </c>
      <c r="G309" t="inlineStr">
        <is>
          <t>BENGTSFORS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57692-2024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45630</v>
      </c>
      <c r="E310" s="1" t="n">
        <v>46221</v>
      </c>
      <c r="F310" t="inlineStr">
        <is>
          <t>VÄSTRA GÖTALANDS LÄN</t>
        </is>
      </c>
      <c r="G310" t="inlineStr">
        <is>
          <t>BENGTSFORS</t>
        </is>
      </c>
      <c r="H310" t="inlineStr">
        <is>
          <t>Kyrkan</t>
        </is>
      </c>
      <c r="I310" t="n">
        <v>10.8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7925-2026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46063</v>
      </c>
      <c r="E311" s="1" t="n">
        <v>46221</v>
      </c>
      <c r="F311" t="inlineStr">
        <is>
          <t>VÄSTRA GÖTALANDS LÄN</t>
        </is>
      </c>
      <c r="G311" t="inlineStr">
        <is>
          <t>BENGTSFORS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7927-2026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46063</v>
      </c>
      <c r="E312" s="1" t="n">
        <v>46221</v>
      </c>
      <c r="F312" t="inlineStr">
        <is>
          <t>VÄSTRA GÖTALANDS LÄN</t>
        </is>
      </c>
      <c r="G312" t="inlineStr">
        <is>
          <t>BENGTSFORS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36430-2023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45151</v>
      </c>
      <c r="E313" s="1" t="n">
        <v>46221</v>
      </c>
      <c r="F313" t="inlineStr">
        <is>
          <t>VÄSTRA GÖTALANDS LÄN</t>
        </is>
      </c>
      <c r="G313" t="inlineStr">
        <is>
          <t>BENGTSFORS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52962-2025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46221</v>
      </c>
      <c r="F314" t="inlineStr">
        <is>
          <t>VÄSTRA GÖTALANDS LÄN</t>
        </is>
      </c>
      <c r="G314" t="inlineStr">
        <is>
          <t>BENGTSFORS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44462-2023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45189</v>
      </c>
      <c r="E315" s="1" t="n">
        <v>46221</v>
      </c>
      <c r="F315" t="inlineStr">
        <is>
          <t>VÄSTRA GÖTALANDS LÄN</t>
        </is>
      </c>
      <c r="G315" t="inlineStr">
        <is>
          <t>BENGTSFORS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52952-2025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45957</v>
      </c>
      <c r="E316" s="1" t="n">
        <v>46221</v>
      </c>
      <c r="F316" t="inlineStr">
        <is>
          <t>VÄSTRA GÖTALANDS LÄN</t>
        </is>
      </c>
      <c r="G316" t="inlineStr">
        <is>
          <t>BENGTSFORS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53757-2025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46221</v>
      </c>
      <c r="F317" t="inlineStr">
        <is>
          <t>VÄSTRA GÖTALANDS LÄN</t>
        </is>
      </c>
      <c r="G317" t="inlineStr">
        <is>
          <t>BENGTSFORS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53597-2025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46221</v>
      </c>
      <c r="F318" t="inlineStr">
        <is>
          <t>VÄSTRA GÖTALANDS LÄN</t>
        </is>
      </c>
      <c r="G318" t="inlineStr">
        <is>
          <t>BENGTSFORS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53421-2025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46221</v>
      </c>
      <c r="F319" t="inlineStr">
        <is>
          <t>VÄSTRA GÖTALANDS LÄN</t>
        </is>
      </c>
      <c r="G319" t="inlineStr">
        <is>
          <t>BENGTSFORS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46742-2023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46221</v>
      </c>
      <c r="F320" t="inlineStr">
        <is>
          <t>VÄSTRA GÖTALANDS LÄN</t>
        </is>
      </c>
      <c r="G320" t="inlineStr">
        <is>
          <t>BENGTSFORS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46767-2023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46221</v>
      </c>
      <c r="F321" t="inlineStr">
        <is>
          <t>VÄSTRA GÖTALANDS LÄN</t>
        </is>
      </c>
      <c r="G321" t="inlineStr">
        <is>
          <t>BENGTSFORS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53745-2025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46221</v>
      </c>
      <c r="F322" t="inlineStr">
        <is>
          <t>VÄSTRA GÖTALANDS LÄN</t>
        </is>
      </c>
      <c r="G322" t="inlineStr">
        <is>
          <t>BENGTSFORS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53297-2025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46221</v>
      </c>
      <c r="F323" t="inlineStr">
        <is>
          <t>VÄSTRA GÖTALANDS LÄN</t>
        </is>
      </c>
      <c r="G323" t="inlineStr">
        <is>
          <t>BENGTSFORS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9646-2026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46072</v>
      </c>
      <c r="E324" s="1" t="n">
        <v>46221</v>
      </c>
      <c r="F324" t="inlineStr">
        <is>
          <t>VÄSTRA GÖTALANDS LÄN</t>
        </is>
      </c>
      <c r="G324" t="inlineStr">
        <is>
          <t>BENGTSFORS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45694</v>
      </c>
      <c r="E325" s="1" t="n">
        <v>46221</v>
      </c>
      <c r="F325" t="inlineStr">
        <is>
          <t>VÄSTRA GÖTALANDS LÄN</t>
        </is>
      </c>
      <c r="G325" t="inlineStr">
        <is>
          <t>BENGTSFORS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53361-2025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46221</v>
      </c>
      <c r="F326" t="inlineStr">
        <is>
          <t>VÄSTRA GÖTALANDS LÄN</t>
        </is>
      </c>
      <c r="G326" t="inlineStr">
        <is>
          <t>BENGTSFORS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54132-2025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45964</v>
      </c>
      <c r="E327" s="1" t="n">
        <v>46221</v>
      </c>
      <c r="F327" t="inlineStr">
        <is>
          <t>VÄSTRA GÖTALANDS LÄN</t>
        </is>
      </c>
      <c r="G327" t="inlineStr">
        <is>
          <t>BENGTSFORS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47892-2022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44855</v>
      </c>
      <c r="E328" s="1" t="n">
        <v>46221</v>
      </c>
      <c r="F328" t="inlineStr">
        <is>
          <t>VÄSTRA GÖTALANDS LÄN</t>
        </is>
      </c>
      <c r="G328" t="inlineStr">
        <is>
          <t>BENGTSFORS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54173-2025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45964</v>
      </c>
      <c r="E329" s="1" t="n">
        <v>46221</v>
      </c>
      <c r="F329" t="inlineStr">
        <is>
          <t>VÄSTRA GÖTALANDS LÄN</t>
        </is>
      </c>
      <c r="G329" t="inlineStr">
        <is>
          <t>BENGTSFORS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25639-2023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45089</v>
      </c>
      <c r="E330" s="1" t="n">
        <v>46221</v>
      </c>
      <c r="F330" t="inlineStr">
        <is>
          <t>VÄSTRA GÖTALANDS LÄN</t>
        </is>
      </c>
      <c r="G330" t="inlineStr">
        <is>
          <t>BENGTSFORS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10203-2026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46076</v>
      </c>
      <c r="E331" s="1" t="n">
        <v>46221</v>
      </c>
      <c r="F331" t="inlineStr">
        <is>
          <t>VÄSTRA GÖTALANDS LÄN</t>
        </is>
      </c>
      <c r="G331" t="inlineStr">
        <is>
          <t>BENGTSFORS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54596-2025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46221</v>
      </c>
      <c r="F332" t="inlineStr">
        <is>
          <t>VÄSTRA GÖTALANDS LÄN</t>
        </is>
      </c>
      <c r="G332" t="inlineStr">
        <is>
          <t>BENGTSFORS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55345-2025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46221</v>
      </c>
      <c r="F333" t="inlineStr">
        <is>
          <t>VÄSTRA GÖTALANDS LÄN</t>
        </is>
      </c>
      <c r="G333" t="inlineStr">
        <is>
          <t>BENGTSFORS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16181-2025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45750</v>
      </c>
      <c r="E334" s="1" t="n">
        <v>46221</v>
      </c>
      <c r="F334" t="inlineStr">
        <is>
          <t>VÄSTRA GÖTALANDS LÄN</t>
        </is>
      </c>
      <c r="G334" t="inlineStr">
        <is>
          <t>BENGTSFORS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21149-2024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45440</v>
      </c>
      <c r="E335" s="1" t="n">
        <v>46221</v>
      </c>
      <c r="F335" t="inlineStr">
        <is>
          <t>VÄSTRA GÖTALANDS LÄN</t>
        </is>
      </c>
      <c r="G335" t="inlineStr">
        <is>
          <t>BENGTSFORS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6617-2023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44966</v>
      </c>
      <c r="E336" s="1" t="n">
        <v>46221</v>
      </c>
      <c r="F336" t="inlineStr">
        <is>
          <t>VÄSTRA GÖTALANDS LÄN</t>
        </is>
      </c>
      <c r="G336" t="inlineStr">
        <is>
          <t>BENGTSFORS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56243-2025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46221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Övriga Aktiebolag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56203-2025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46221</v>
      </c>
      <c r="F338" t="inlineStr">
        <is>
          <t>VÄSTRA GÖTALANDS LÄN</t>
        </is>
      </c>
      <c r="G338" t="inlineStr">
        <is>
          <t>BENGTSFORS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57202-2022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44895</v>
      </c>
      <c r="E339" s="1" t="n">
        <v>46221</v>
      </c>
      <c r="F339" t="inlineStr">
        <is>
          <t>VÄSTRA GÖTALANDS LÄN</t>
        </is>
      </c>
      <c r="G339" t="inlineStr">
        <is>
          <t>BENGTSFORS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51830-2025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45952</v>
      </c>
      <c r="E340" s="1" t="n">
        <v>46221</v>
      </c>
      <c r="F340" t="inlineStr">
        <is>
          <t>VÄSTRA GÖTALANDS LÄN</t>
        </is>
      </c>
      <c r="G340" t="inlineStr">
        <is>
          <t>BENGTSFORS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51832-2025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45952</v>
      </c>
      <c r="E341" s="1" t="n">
        <v>46221</v>
      </c>
      <c r="F341" t="inlineStr">
        <is>
          <t>VÄSTRA GÖTALANDS LÄN</t>
        </is>
      </c>
      <c r="G341" t="inlineStr">
        <is>
          <t>BENGTSFORS</t>
        </is>
      </c>
      <c r="I341" t="n">
        <v>11.6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67916-2021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44525</v>
      </c>
      <c r="E342" s="1" t="n">
        <v>46221</v>
      </c>
      <c r="F342" t="inlineStr">
        <is>
          <t>VÄSTRA GÖTALANDS LÄN</t>
        </is>
      </c>
      <c r="G342" t="inlineStr">
        <is>
          <t>BENGTSFORS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56898-2025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46221</v>
      </c>
      <c r="F343" t="inlineStr">
        <is>
          <t>VÄSTRA GÖTALANDS LÄN</t>
        </is>
      </c>
      <c r="G343" t="inlineStr">
        <is>
          <t>BENGTSFORS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44930</v>
      </c>
      <c r="E344" s="1" t="n">
        <v>46221</v>
      </c>
      <c r="F344" t="inlineStr">
        <is>
          <t>VÄSTRA GÖTALANDS LÄN</t>
        </is>
      </c>
      <c r="G344" t="inlineStr">
        <is>
          <t>BENGTSFORS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57365-2025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46221</v>
      </c>
      <c r="F345" t="inlineStr">
        <is>
          <t>VÄSTRA GÖTALANDS LÄN</t>
        </is>
      </c>
      <c r="G345" t="inlineStr">
        <is>
          <t>BENGTSFORS</t>
        </is>
      </c>
      <c r="I345" t="n">
        <v>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57538-2025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46221</v>
      </c>
      <c r="F346" t="inlineStr">
        <is>
          <t>VÄSTRA GÖTALANDS LÄN</t>
        </is>
      </c>
      <c r="G346" t="inlineStr">
        <is>
          <t>BENGTSFORS</t>
        </is>
      </c>
      <c r="I346" t="n">
        <v>13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31246-2024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45503</v>
      </c>
      <c r="E347" s="1" t="n">
        <v>46221</v>
      </c>
      <c r="F347" t="inlineStr">
        <is>
          <t>VÄSTRA GÖTALANDS LÄN</t>
        </is>
      </c>
      <c r="G347" t="inlineStr">
        <is>
          <t>BENGTSFORS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57637-2025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46221</v>
      </c>
      <c r="F348" t="inlineStr">
        <is>
          <t>VÄSTRA GÖTALANDS LÄN</t>
        </is>
      </c>
      <c r="G348" t="inlineStr">
        <is>
          <t>BENGTSFORS</t>
        </is>
      </c>
      <c r="H348" t="inlineStr">
        <is>
          <t>Övriga Aktiebolag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57638-2025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46221</v>
      </c>
      <c r="F349" t="inlineStr">
        <is>
          <t>VÄSTRA GÖTALANDS LÄN</t>
        </is>
      </c>
      <c r="G349" t="inlineStr">
        <is>
          <t>BENGTSFORS</t>
        </is>
      </c>
      <c r="H349" t="inlineStr">
        <is>
          <t>Övriga Aktiebolag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57885-2025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46221</v>
      </c>
      <c r="F350" t="inlineStr">
        <is>
          <t>VÄSTRA GÖTALANDS LÄN</t>
        </is>
      </c>
      <c r="G350" t="inlineStr">
        <is>
          <t>BENGTSFORS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9907-2022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44620</v>
      </c>
      <c r="E351" s="1" t="n">
        <v>46221</v>
      </c>
      <c r="F351" t="inlineStr">
        <is>
          <t>VÄSTRA GÖTALANDS LÄN</t>
        </is>
      </c>
      <c r="G351" t="inlineStr">
        <is>
          <t>BENGTSFORS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4404-2023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44956</v>
      </c>
      <c r="E352" s="1" t="n">
        <v>46221</v>
      </c>
      <c r="F352" t="inlineStr">
        <is>
          <t>VÄSTRA GÖTALANDS LÄN</t>
        </is>
      </c>
      <c r="G352" t="inlineStr">
        <is>
          <t>BENGTSFORS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44951</v>
      </c>
      <c r="E353" s="1" t="n">
        <v>46221</v>
      </c>
      <c r="F353" t="inlineStr">
        <is>
          <t>VÄSTRA GÖTALANDS LÄN</t>
        </is>
      </c>
      <c r="G353" t="inlineStr">
        <is>
          <t>BENGTSFORS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57882-2025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46221</v>
      </c>
      <c r="F354" t="inlineStr">
        <is>
          <t>VÄSTRA GÖTALANDS LÄN</t>
        </is>
      </c>
      <c r="G354" t="inlineStr">
        <is>
          <t>BENGTSFORS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6614-2023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44966</v>
      </c>
      <c r="E355" s="1" t="n">
        <v>46221</v>
      </c>
      <c r="F355" t="inlineStr">
        <is>
          <t>VÄSTRA GÖTALANDS LÄN</t>
        </is>
      </c>
      <c r="G355" t="inlineStr">
        <is>
          <t>BENGTSFORS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12140-2026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46086</v>
      </c>
      <c r="E356" s="1" t="n">
        <v>46221</v>
      </c>
      <c r="F356" t="inlineStr">
        <is>
          <t>VÄSTRA GÖTALANDS LÄN</t>
        </is>
      </c>
      <c r="G356" t="inlineStr">
        <is>
          <t>BENGTSFORS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61334-2023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46221</v>
      </c>
      <c r="F357" t="inlineStr">
        <is>
          <t>VÄSTRA GÖTALANDS LÄN</t>
        </is>
      </c>
      <c r="G357" t="inlineStr">
        <is>
          <t>BENGTSFORS</t>
        </is>
      </c>
      <c r="I357" t="n">
        <v>9.4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46086</v>
      </c>
      <c r="E358" s="1" t="n">
        <v>46221</v>
      </c>
      <c r="F358" t="inlineStr">
        <is>
          <t>VÄSTRA GÖTALANDS LÄN</t>
        </is>
      </c>
      <c r="G358" t="inlineStr">
        <is>
          <t>BENGTSFORS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58458-2025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46221</v>
      </c>
      <c r="F359" t="inlineStr">
        <is>
          <t>VÄSTRA GÖTALANDS LÄN</t>
        </is>
      </c>
      <c r="G359" t="inlineStr">
        <is>
          <t>BENGTSFORS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12105-2026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46086</v>
      </c>
      <c r="E360" s="1" t="n">
        <v>46221</v>
      </c>
      <c r="F360" t="inlineStr">
        <is>
          <t>VÄSTRA GÖTALANDS LÄN</t>
        </is>
      </c>
      <c r="G360" t="inlineStr">
        <is>
          <t>BENGTSFORS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59283-2025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45988</v>
      </c>
      <c r="E361" s="1" t="n">
        <v>46221</v>
      </c>
      <c r="F361" t="inlineStr">
        <is>
          <t>VÄSTRA GÖTALANDS LÄN</t>
        </is>
      </c>
      <c r="G361" t="inlineStr">
        <is>
          <t>BENGTSFORS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59132-2025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46221</v>
      </c>
      <c r="F362" t="inlineStr">
        <is>
          <t>VÄSTRA GÖTALANDS LÄN</t>
        </is>
      </c>
      <c r="G362" t="inlineStr">
        <is>
          <t>BENGTSFORS</t>
        </is>
      </c>
      <c r="H362" t="inlineStr">
        <is>
          <t>Kyrkan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46723-2022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44851</v>
      </c>
      <c r="E363" s="1" t="n">
        <v>46221</v>
      </c>
      <c r="F363" t="inlineStr">
        <is>
          <t>VÄSTRA GÖTALANDS LÄN</t>
        </is>
      </c>
      <c r="G363" t="inlineStr">
        <is>
          <t>BENGTSFORS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49154-2023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45210</v>
      </c>
      <c r="E364" s="1" t="n">
        <v>46221</v>
      </c>
      <c r="F364" t="inlineStr">
        <is>
          <t>VÄSTRA GÖTALANDS LÄN</t>
        </is>
      </c>
      <c r="G364" t="inlineStr">
        <is>
          <t>BENGTSFORS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59637-2025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45992</v>
      </c>
      <c r="E365" s="1" t="n">
        <v>46221</v>
      </c>
      <c r="F365" t="inlineStr">
        <is>
          <t>VÄSTRA GÖTALANDS LÄN</t>
        </is>
      </c>
      <c r="G365" t="inlineStr">
        <is>
          <t>BENGTSFORS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59784-2025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45992</v>
      </c>
      <c r="E366" s="1" t="n">
        <v>46221</v>
      </c>
      <c r="F366" t="inlineStr">
        <is>
          <t>VÄSTRA GÖTALANDS LÄN</t>
        </is>
      </c>
      <c r="G366" t="inlineStr">
        <is>
          <t>BENGTSFORS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2524-2023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44943</v>
      </c>
      <c r="E367" s="1" t="n">
        <v>46221</v>
      </c>
      <c r="F367" t="inlineStr">
        <is>
          <t>VÄSTRA GÖTALANDS LÄN</t>
        </is>
      </c>
      <c r="G367" t="inlineStr">
        <is>
          <t>BENGTSFORS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59788-2025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45992</v>
      </c>
      <c r="E368" s="1" t="n">
        <v>46221</v>
      </c>
      <c r="F368" t="inlineStr">
        <is>
          <t>VÄSTRA GÖTALANDS LÄN</t>
        </is>
      </c>
      <c r="G368" t="inlineStr">
        <is>
          <t>BENGTSFORS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54560-2023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45233</v>
      </c>
      <c r="E369" s="1" t="n">
        <v>46221</v>
      </c>
      <c r="F369" t="inlineStr">
        <is>
          <t>VÄSTRA GÖTALANDS LÄN</t>
        </is>
      </c>
      <c r="G369" t="inlineStr">
        <is>
          <t>BENGTSFORS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59664-2025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46221</v>
      </c>
      <c r="F370" t="inlineStr">
        <is>
          <t>VÄSTRA GÖTALANDS LÄN</t>
        </is>
      </c>
      <c r="G370" t="inlineStr">
        <is>
          <t>BENGTSFORS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45420-2021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44440</v>
      </c>
      <c r="E371" s="1" t="n">
        <v>46221</v>
      </c>
      <c r="F371" t="inlineStr">
        <is>
          <t>VÄSTRA GÖTALANDS LÄN</t>
        </is>
      </c>
      <c r="G371" t="inlineStr">
        <is>
          <t>BENGTSFORS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59792-2025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46221</v>
      </c>
      <c r="F372" t="inlineStr">
        <is>
          <t>VÄSTRA GÖTALANDS LÄN</t>
        </is>
      </c>
      <c r="G372" t="inlineStr">
        <is>
          <t>BENGTSFORS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60313-2025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46221</v>
      </c>
      <c r="F373" t="inlineStr">
        <is>
          <t>VÄSTRA GÖTALANDS LÄN</t>
        </is>
      </c>
      <c r="G373" t="inlineStr">
        <is>
          <t>BENGTSFORS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60329-2025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45994</v>
      </c>
      <c r="E374" s="1" t="n">
        <v>46221</v>
      </c>
      <c r="F374" t="inlineStr">
        <is>
          <t>VÄSTRA GÖTALANDS LÄN</t>
        </is>
      </c>
      <c r="G374" t="inlineStr">
        <is>
          <t>BENGTSFORS</t>
        </is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60974-2025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45996</v>
      </c>
      <c r="E375" s="1" t="n">
        <v>46221</v>
      </c>
      <c r="F375" t="inlineStr">
        <is>
          <t>VÄSTRA GÖTALANDS LÄN</t>
        </is>
      </c>
      <c r="G375" t="inlineStr">
        <is>
          <t>BENGTSFORS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13611-2026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46221</v>
      </c>
      <c r="F376" t="inlineStr">
        <is>
          <t>VÄSTRA GÖTALANDS LÄN</t>
        </is>
      </c>
      <c r="G376" t="inlineStr">
        <is>
          <t>BENGTSFORS</t>
        </is>
      </c>
      <c r="I376" t="n">
        <v>10.5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60540-2025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46221</v>
      </c>
      <c r="F377" t="inlineStr">
        <is>
          <t>VÄSTRA GÖTALANDS LÄN</t>
        </is>
      </c>
      <c r="G377" t="inlineStr">
        <is>
          <t>BENGTSFORS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60600-2025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45996</v>
      </c>
      <c r="E378" s="1" t="n">
        <v>46221</v>
      </c>
      <c r="F378" t="inlineStr">
        <is>
          <t>VÄSTRA GÖTALANDS LÄN</t>
        </is>
      </c>
      <c r="G378" t="inlineStr">
        <is>
          <t>BENGTSFORS</t>
        </is>
      </c>
      <c r="H378" t="inlineStr">
        <is>
          <t>Övriga Aktiebolag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60747-2025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45999</v>
      </c>
      <c r="E379" s="1" t="n">
        <v>46221</v>
      </c>
      <c r="F379" t="inlineStr">
        <is>
          <t>VÄSTRA GÖTALANDS LÄN</t>
        </is>
      </c>
      <c r="G379" t="inlineStr">
        <is>
          <t>BENGTSFORS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60751-2025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46221</v>
      </c>
      <c r="F380" t="inlineStr">
        <is>
          <t>VÄSTRA GÖTALANDS LÄN</t>
        </is>
      </c>
      <c r="G380" t="inlineStr">
        <is>
          <t>BENGTSFORS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60744-2025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46221</v>
      </c>
      <c r="F381" t="inlineStr">
        <is>
          <t>VÄSTRA GÖTALANDS LÄN</t>
        </is>
      </c>
      <c r="G381" t="inlineStr">
        <is>
          <t>BENGTSFORS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39702-2023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45167</v>
      </c>
      <c r="E382" s="1" t="n">
        <v>46221</v>
      </c>
      <c r="F382" t="inlineStr">
        <is>
          <t>VÄSTRA GÖTALANDS LÄN</t>
        </is>
      </c>
      <c r="G382" t="inlineStr">
        <is>
          <t>BENGTSFORS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60933-2025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46221</v>
      </c>
      <c r="F383" t="inlineStr">
        <is>
          <t>VÄSTRA GÖTALANDS LÄN</t>
        </is>
      </c>
      <c r="G383" t="inlineStr">
        <is>
          <t>BENGTSFORS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40511-2025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45896</v>
      </c>
      <c r="E384" s="1" t="n">
        <v>46221</v>
      </c>
      <c r="F384" t="inlineStr">
        <is>
          <t>VÄSTRA GÖTALANDS LÄN</t>
        </is>
      </c>
      <c r="G384" t="inlineStr">
        <is>
          <t>BENGTSFORS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61727-2025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46002</v>
      </c>
      <c r="E385" s="1" t="n">
        <v>46221</v>
      </c>
      <c r="F385" t="inlineStr">
        <is>
          <t>VÄSTRA GÖTALANDS LÄN</t>
        </is>
      </c>
      <c r="G385" t="inlineStr">
        <is>
          <t>BENGTSFORS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13484-2026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46093</v>
      </c>
      <c r="E386" s="1" t="n">
        <v>46221</v>
      </c>
      <c r="F386" t="inlineStr">
        <is>
          <t>VÄSTRA GÖTALANDS LÄN</t>
        </is>
      </c>
      <c r="G386" t="inlineStr">
        <is>
          <t>BENGTSFORS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61740-2025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46002</v>
      </c>
      <c r="E387" s="1" t="n">
        <v>46221</v>
      </c>
      <c r="F387" t="inlineStr">
        <is>
          <t>VÄSTRA GÖTALANDS LÄN</t>
        </is>
      </c>
      <c r="G387" t="inlineStr">
        <is>
          <t>BENGTSFORS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59285-2022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44904</v>
      </c>
      <c r="E388" s="1" t="n">
        <v>46221</v>
      </c>
      <c r="F388" t="inlineStr">
        <is>
          <t>VÄSTRA GÖTALANDS LÄN</t>
        </is>
      </c>
      <c r="G388" t="inlineStr">
        <is>
          <t>BENGTSFORS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16303-2024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45407</v>
      </c>
      <c r="E389" s="1" t="n">
        <v>46221</v>
      </c>
      <c r="F389" t="inlineStr">
        <is>
          <t>VÄSTRA GÖTALANDS LÄN</t>
        </is>
      </c>
      <c r="G389" t="inlineStr">
        <is>
          <t>BENGTSFORS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25887-2024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45467</v>
      </c>
      <c r="E390" s="1" t="n">
        <v>46221</v>
      </c>
      <c r="F390" t="inlineStr">
        <is>
          <t>VÄSTRA GÖTALANDS LÄN</t>
        </is>
      </c>
      <c r="G390" t="inlineStr">
        <is>
          <t>BENGTSFORS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20908-2023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45060</v>
      </c>
      <c r="E391" s="1" t="n">
        <v>46221</v>
      </c>
      <c r="F391" t="inlineStr">
        <is>
          <t>VÄSTRA GÖTALANDS LÄN</t>
        </is>
      </c>
      <c r="G391" t="inlineStr">
        <is>
          <t>BENGTSFORS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14167-2026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46221</v>
      </c>
      <c r="F392" t="inlineStr">
        <is>
          <t>VÄSTRA GÖTALANDS LÄN</t>
        </is>
      </c>
      <c r="G392" t="inlineStr">
        <is>
          <t>BENGTSFORS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61974-2025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46003</v>
      </c>
      <c r="E393" s="1" t="n">
        <v>46221</v>
      </c>
      <c r="F393" t="inlineStr">
        <is>
          <t>VÄSTRA GÖTALANDS LÄN</t>
        </is>
      </c>
      <c r="G393" t="inlineStr">
        <is>
          <t>BENGTSFORS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15177-2025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45744</v>
      </c>
      <c r="E394" s="1" t="n">
        <v>46221</v>
      </c>
      <c r="F394" t="inlineStr">
        <is>
          <t>VÄSTRA GÖTALANDS LÄN</t>
        </is>
      </c>
      <c r="G394" t="inlineStr">
        <is>
          <t>BENGTSFORS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49778-2021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44453</v>
      </c>
      <c r="E395" s="1" t="n">
        <v>46221</v>
      </c>
      <c r="F395" t="inlineStr">
        <is>
          <t>VÄSTRA GÖTALANDS LÄN</t>
        </is>
      </c>
      <c r="G395" t="inlineStr">
        <is>
          <t>BENGTSFORS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11945-2024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45376</v>
      </c>
      <c r="E396" s="1" t="n">
        <v>46221</v>
      </c>
      <c r="F396" t="inlineStr">
        <is>
          <t>VÄSTRA GÖTALANDS LÄN</t>
        </is>
      </c>
      <c r="G396" t="inlineStr">
        <is>
          <t>BENGTSFORS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55880-2021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46221</v>
      </c>
      <c r="F397" t="inlineStr">
        <is>
          <t>VÄSTRA GÖTALANDS LÄN</t>
        </is>
      </c>
      <c r="G397" t="inlineStr">
        <is>
          <t>BENGTSFORS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22377-2024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45446</v>
      </c>
      <c r="E398" s="1" t="n">
        <v>46221</v>
      </c>
      <c r="F398" t="inlineStr">
        <is>
          <t>VÄSTRA GÖTALANDS LÄN</t>
        </is>
      </c>
      <c r="G398" t="inlineStr">
        <is>
          <t>BENGTSFORS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9716-2025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45716</v>
      </c>
      <c r="E399" s="1" t="n">
        <v>46221</v>
      </c>
      <c r="F399" t="inlineStr">
        <is>
          <t>VÄSTRA GÖTALANDS LÄN</t>
        </is>
      </c>
      <c r="G399" t="inlineStr">
        <is>
          <t>BENGTSFORS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50986-2024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46221</v>
      </c>
      <c r="F400" t="inlineStr">
        <is>
          <t>VÄSTRA GÖTALANDS LÄN</t>
        </is>
      </c>
      <c r="G400" t="inlineStr">
        <is>
          <t>BENGTSFORS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22601-2023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45071</v>
      </c>
      <c r="E401" s="1" t="n">
        <v>46221</v>
      </c>
      <c r="F401" t="inlineStr">
        <is>
          <t>VÄSTRA GÖTALANDS LÄN</t>
        </is>
      </c>
      <c r="G401" t="inlineStr">
        <is>
          <t>BENGTSFORS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61820-2021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44501</v>
      </c>
      <c r="E402" s="1" t="n">
        <v>46221</v>
      </c>
      <c r="F402" t="inlineStr">
        <is>
          <t>VÄSTRA GÖTALANDS LÄN</t>
        </is>
      </c>
      <c r="G402" t="inlineStr">
        <is>
          <t>BENGTSFORS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42386-2023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46221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11052-2025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45723</v>
      </c>
      <c r="E404" s="1" t="n">
        <v>46221</v>
      </c>
      <c r="F404" t="inlineStr">
        <is>
          <t>VÄSTRA GÖTALANDS LÄN</t>
        </is>
      </c>
      <c r="G404" t="inlineStr">
        <is>
          <t>BENGTSFORS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20112-2025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45772</v>
      </c>
      <c r="E405" s="1" t="n">
        <v>46221</v>
      </c>
      <c r="F405" t="inlineStr">
        <is>
          <t>VÄSTRA GÖTALANDS LÄN</t>
        </is>
      </c>
      <c r="G405" t="inlineStr">
        <is>
          <t>BENGTSFORS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63919-2025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46221</v>
      </c>
      <c r="F406" t="inlineStr">
        <is>
          <t>VÄSTRA GÖTALANDS LÄN</t>
        </is>
      </c>
      <c r="G406" t="inlineStr">
        <is>
          <t>BENGTSFORS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63914-2025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46020</v>
      </c>
      <c r="E407" s="1" t="n">
        <v>46221</v>
      </c>
      <c r="F407" t="inlineStr">
        <is>
          <t>VÄSTRA GÖTALANDS LÄN</t>
        </is>
      </c>
      <c r="G407" t="inlineStr">
        <is>
          <t>BENGTSFORS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29791-2023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46221</v>
      </c>
      <c r="F408" t="inlineStr">
        <is>
          <t>VÄSTRA GÖTALANDS LÄN</t>
        </is>
      </c>
      <c r="G408" t="inlineStr">
        <is>
          <t>BENGTSFORS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63917-2025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46020</v>
      </c>
      <c r="E409" s="1" t="n">
        <v>46221</v>
      </c>
      <c r="F409" t="inlineStr">
        <is>
          <t>VÄSTRA GÖTALANDS LÄN</t>
        </is>
      </c>
      <c r="G409" t="inlineStr">
        <is>
          <t>BENGTSFORS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60967-2024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46221</v>
      </c>
      <c r="F410" t="inlineStr">
        <is>
          <t>VÄSTRA GÖTALANDS LÄN</t>
        </is>
      </c>
      <c r="G410" t="inlineStr">
        <is>
          <t>BENGTSFORS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46030</v>
      </c>
      <c r="E411" s="1" t="n">
        <v>46221</v>
      </c>
      <c r="F411" t="inlineStr">
        <is>
          <t>VÄSTRA GÖTALANDS LÄN</t>
        </is>
      </c>
      <c r="G411" t="inlineStr">
        <is>
          <t>BENGTSFORS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18101-2023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45040</v>
      </c>
      <c r="E412" s="1" t="n">
        <v>46221</v>
      </c>
      <c r="F412" t="inlineStr">
        <is>
          <t>VÄSTRA GÖTALANDS LÄN</t>
        </is>
      </c>
      <c r="G412" t="inlineStr">
        <is>
          <t>BENGTSFORS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15483-2026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46221</v>
      </c>
      <c r="F413" t="inlineStr">
        <is>
          <t>VÄSTRA GÖTALANDS LÄN</t>
        </is>
      </c>
      <c r="G413" t="inlineStr">
        <is>
          <t>BENGTSFORS</t>
        </is>
      </c>
      <c r="H413" t="inlineStr">
        <is>
          <t>Övriga Aktiebolag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59979-2023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45257</v>
      </c>
      <c r="E414" s="1" t="n">
        <v>46221</v>
      </c>
      <c r="F414" t="inlineStr">
        <is>
          <t>VÄSTRA GÖTALANDS LÄN</t>
        </is>
      </c>
      <c r="G414" t="inlineStr">
        <is>
          <t>BENGTSFORS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36416-2023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45151</v>
      </c>
      <c r="E415" s="1" t="n">
        <v>46221</v>
      </c>
      <c r="F415" t="inlineStr">
        <is>
          <t>VÄSTRA GÖTALANDS LÄN</t>
        </is>
      </c>
      <c r="G415" t="inlineStr">
        <is>
          <t>BENGTSFORS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36423-2023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45151</v>
      </c>
      <c r="E416" s="1" t="n">
        <v>46221</v>
      </c>
      <c r="F416" t="inlineStr">
        <is>
          <t>VÄSTRA GÖTALANDS LÄN</t>
        </is>
      </c>
      <c r="G416" t="inlineStr">
        <is>
          <t>BENGTSFORS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42409-2022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44831</v>
      </c>
      <c r="E417" s="1" t="n">
        <v>46221</v>
      </c>
      <c r="F417" t="inlineStr">
        <is>
          <t>VÄSTRA GÖTALANDS LÄN</t>
        </is>
      </c>
      <c r="G417" t="inlineStr">
        <is>
          <t>BENGTSFORS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46221</v>
      </c>
      <c r="F418" t="inlineStr">
        <is>
          <t>VÄSTRA GÖTALANDS LÄN</t>
        </is>
      </c>
      <c r="G418" t="inlineStr">
        <is>
          <t>BENGTSFORS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10079-2022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44621</v>
      </c>
      <c r="E419" s="1" t="n">
        <v>46221</v>
      </c>
      <c r="F419" t="inlineStr">
        <is>
          <t>VÄSTRA GÖTALANDS LÄN</t>
        </is>
      </c>
      <c r="G419" t="inlineStr">
        <is>
          <t>BENGTSFORS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2182-2026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46036</v>
      </c>
      <c r="E420" s="1" t="n">
        <v>46221</v>
      </c>
      <c r="F420" t="inlineStr">
        <is>
          <t>VÄSTRA GÖTALANDS LÄN</t>
        </is>
      </c>
      <c r="G420" t="inlineStr">
        <is>
          <t>BENGTSFORS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27440-2022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44742</v>
      </c>
      <c r="E421" s="1" t="n">
        <v>46221</v>
      </c>
      <c r="F421" t="inlineStr">
        <is>
          <t>VÄSTRA GÖTALANDS LÄN</t>
        </is>
      </c>
      <c r="G421" t="inlineStr">
        <is>
          <t>BENGTSFORS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12075-2023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44997</v>
      </c>
      <c r="E422" s="1" t="n">
        <v>46221</v>
      </c>
      <c r="F422" t="inlineStr">
        <is>
          <t>VÄSTRA GÖTALANDS LÄN</t>
        </is>
      </c>
      <c r="G422" t="inlineStr">
        <is>
          <t>BENGTSFORS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16194-2026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46111</v>
      </c>
      <c r="E423" s="1" t="n">
        <v>46221</v>
      </c>
      <c r="F423" t="inlineStr">
        <is>
          <t>VÄSTRA GÖTALANDS LÄN</t>
        </is>
      </c>
      <c r="G423" t="inlineStr">
        <is>
          <t>BENGTSFORS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16107-2026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46221</v>
      </c>
      <c r="F424" t="inlineStr">
        <is>
          <t>VÄSTRA GÖTALANDS LÄN</t>
        </is>
      </c>
      <c r="G424" t="inlineStr">
        <is>
          <t>BENGTSFORS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16422-2026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46221</v>
      </c>
      <c r="F425" t="inlineStr">
        <is>
          <t>VÄSTRA GÖTALANDS LÄN</t>
        </is>
      </c>
      <c r="G425" t="inlineStr">
        <is>
          <t>BENGTSFORS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58320-2021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44488</v>
      </c>
      <c r="E426" s="1" t="n">
        <v>46221</v>
      </c>
      <c r="F426" t="inlineStr">
        <is>
          <t>VÄSTRA GÖTALANDS LÄN</t>
        </is>
      </c>
      <c r="G426" t="inlineStr">
        <is>
          <t>BENGTSFORS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16697-2026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46112</v>
      </c>
      <c r="E427" s="1" t="n">
        <v>46221</v>
      </c>
      <c r="F427" t="inlineStr">
        <is>
          <t>VÄSTRA GÖTALANDS LÄN</t>
        </is>
      </c>
      <c r="G427" t="inlineStr">
        <is>
          <t>BENGTSFORS</t>
        </is>
      </c>
      <c r="H427" t="inlineStr">
        <is>
          <t>Kyrkan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16610-2026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46112</v>
      </c>
      <c r="E428" s="1" t="n">
        <v>46221</v>
      </c>
      <c r="F428" t="inlineStr">
        <is>
          <t>VÄSTRA GÖTALANDS LÄN</t>
        </is>
      </c>
      <c r="G428" t="inlineStr">
        <is>
          <t>BENGTSFORS</t>
        </is>
      </c>
      <c r="H428" t="inlineStr">
        <is>
          <t>Kyrkan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41022-2024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45558</v>
      </c>
      <c r="E429" s="1" t="n">
        <v>46221</v>
      </c>
      <c r="F429" t="inlineStr">
        <is>
          <t>VÄSTRA GÖTALANDS LÄN</t>
        </is>
      </c>
      <c r="G429" t="inlineStr">
        <is>
          <t>BENGTSFORS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41024-2024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45558</v>
      </c>
      <c r="E430" s="1" t="n">
        <v>46221</v>
      </c>
      <c r="F430" t="inlineStr">
        <is>
          <t>VÄSTRA GÖTALANDS LÄN</t>
        </is>
      </c>
      <c r="G430" t="inlineStr">
        <is>
          <t>BENGTSFORS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17060-2026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46114</v>
      </c>
      <c r="E431" s="1" t="n">
        <v>46221</v>
      </c>
      <c r="F431" t="inlineStr">
        <is>
          <t>VÄSTRA GÖTALANDS LÄN</t>
        </is>
      </c>
      <c r="G431" t="inlineStr">
        <is>
          <t>BENGTSFORS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36426-2023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45151</v>
      </c>
      <c r="E432" s="1" t="n">
        <v>46221</v>
      </c>
      <c r="F432" t="inlineStr">
        <is>
          <t>VÄSTRA GÖTALANDS LÄN</t>
        </is>
      </c>
      <c r="G432" t="inlineStr">
        <is>
          <t>BENGTSFORS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17059-2026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46114</v>
      </c>
      <c r="E433" s="1" t="n">
        <v>46221</v>
      </c>
      <c r="F433" t="inlineStr">
        <is>
          <t>VÄSTRA GÖTALANDS LÄN</t>
        </is>
      </c>
      <c r="G433" t="inlineStr">
        <is>
          <t>BENGTSFORS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33609-2023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45132</v>
      </c>
      <c r="E434" s="1" t="n">
        <v>46221</v>
      </c>
      <c r="F434" t="inlineStr">
        <is>
          <t>VÄSTRA GÖTALANDS LÄN</t>
        </is>
      </c>
      <c r="G434" t="inlineStr">
        <is>
          <t>BENGTSFORS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17493-2026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46119</v>
      </c>
      <c r="E435" s="1" t="n">
        <v>46221</v>
      </c>
      <c r="F435" t="inlineStr">
        <is>
          <t>VÄSTRA GÖTALANDS LÄN</t>
        </is>
      </c>
      <c r="G435" t="inlineStr">
        <is>
          <t>BENGTSFORS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3155-2023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44946</v>
      </c>
      <c r="E436" s="1" t="n">
        <v>46221</v>
      </c>
      <c r="F436" t="inlineStr">
        <is>
          <t>VÄSTRA GÖTALANDS LÄN</t>
        </is>
      </c>
      <c r="G436" t="inlineStr">
        <is>
          <t>BENGTSFORS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47716-2024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45588</v>
      </c>
      <c r="E437" s="1" t="n">
        <v>46221</v>
      </c>
      <c r="F437" t="inlineStr">
        <is>
          <t>VÄSTRA GÖTALANDS LÄN</t>
        </is>
      </c>
      <c r="G437" t="inlineStr">
        <is>
          <t>BENGTSFORS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50960-2023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45218</v>
      </c>
      <c r="E438" s="1" t="n">
        <v>46221</v>
      </c>
      <c r="F438" t="inlineStr">
        <is>
          <t>VÄSTRA GÖTALANDS LÄN</t>
        </is>
      </c>
      <c r="G438" t="inlineStr">
        <is>
          <t>BENGTSFORS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42362-2024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45562</v>
      </c>
      <c r="E439" s="1" t="n">
        <v>46221</v>
      </c>
      <c r="F439" t="inlineStr">
        <is>
          <t>VÄSTRA GÖTALANDS LÄN</t>
        </is>
      </c>
      <c r="G439" t="inlineStr">
        <is>
          <t>BENGTSFORS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11526-2022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44631</v>
      </c>
      <c r="E440" s="1" t="n">
        <v>46221</v>
      </c>
      <c r="F440" t="inlineStr">
        <is>
          <t>VÄSTRA GÖTALANDS LÄN</t>
        </is>
      </c>
      <c r="G440" t="inlineStr">
        <is>
          <t>BENGTSFORS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10091-2022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44621</v>
      </c>
      <c r="E441" s="1" t="n">
        <v>46221</v>
      </c>
      <c r="F441" t="inlineStr">
        <is>
          <t>VÄSTRA GÖTALANDS LÄN</t>
        </is>
      </c>
      <c r="G441" t="inlineStr">
        <is>
          <t>BENGTSFORS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21373-2023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45063</v>
      </c>
      <c r="E442" s="1" t="n">
        <v>46221</v>
      </c>
      <c r="F442" t="inlineStr">
        <is>
          <t>VÄSTRA GÖTALANDS LÄN</t>
        </is>
      </c>
      <c r="G442" t="inlineStr">
        <is>
          <t>BENGTSFORS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24115-2023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45079</v>
      </c>
      <c r="E443" s="1" t="n">
        <v>46221</v>
      </c>
      <c r="F443" t="inlineStr">
        <is>
          <t>VÄSTRA GÖTALANDS LÄN</t>
        </is>
      </c>
      <c r="G443" t="inlineStr">
        <is>
          <t>BENGTSFORS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37356-2023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45156</v>
      </c>
      <c r="E444" s="1" t="n">
        <v>46221</v>
      </c>
      <c r="F444" t="inlineStr">
        <is>
          <t>VÄSTRA GÖTALANDS LÄN</t>
        </is>
      </c>
      <c r="G444" t="inlineStr">
        <is>
          <t>BENGTSFORS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37394-2023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45155</v>
      </c>
      <c r="E445" s="1" t="n">
        <v>46221</v>
      </c>
      <c r="F445" t="inlineStr">
        <is>
          <t>VÄSTRA GÖTALANDS LÄN</t>
        </is>
      </c>
      <c r="G445" t="inlineStr">
        <is>
          <t>BENGTSFORS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40915-2024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45558</v>
      </c>
      <c r="E446" s="1" t="n">
        <v>46221</v>
      </c>
      <c r="F446" t="inlineStr">
        <is>
          <t>VÄSTRA GÖTALANDS LÄN</t>
        </is>
      </c>
      <c r="G446" t="inlineStr">
        <is>
          <t>BENGTSFORS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46972-2024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45583</v>
      </c>
      <c r="E447" s="1" t="n">
        <v>46221</v>
      </c>
      <c r="F447" t="inlineStr">
        <is>
          <t>VÄSTRA GÖTALANDS LÄN</t>
        </is>
      </c>
      <c r="G447" t="inlineStr">
        <is>
          <t>BENGTSFORS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60429-2024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45643</v>
      </c>
      <c r="E448" s="1" t="n">
        <v>46221</v>
      </c>
      <c r="F448" t="inlineStr">
        <is>
          <t>VÄSTRA GÖTALANDS LÄN</t>
        </is>
      </c>
      <c r="G448" t="inlineStr">
        <is>
          <t>BENGTSFORS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45602-2024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45579</v>
      </c>
      <c r="E449" s="1" t="n">
        <v>46221</v>
      </c>
      <c r="F449" t="inlineStr">
        <is>
          <t>VÄSTRA GÖTALANDS LÄN</t>
        </is>
      </c>
      <c r="G449" t="inlineStr">
        <is>
          <t>BENGTSFORS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6114-2022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44599</v>
      </c>
      <c r="E450" s="1" t="n">
        <v>46221</v>
      </c>
      <c r="F450" t="inlineStr">
        <is>
          <t>VÄSTRA GÖTALANDS LÄN</t>
        </is>
      </c>
      <c r="G450" t="inlineStr">
        <is>
          <t>BENGTSFORS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10050-2025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45719</v>
      </c>
      <c r="E451" s="1" t="n">
        <v>46221</v>
      </c>
      <c r="F451" t="inlineStr">
        <is>
          <t>VÄSTRA GÖTALANDS LÄN</t>
        </is>
      </c>
      <c r="G451" t="inlineStr">
        <is>
          <t>BENGTSFORS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41228-2024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46221</v>
      </c>
      <c r="F452" t="inlineStr">
        <is>
          <t>VÄSTRA GÖTALANDS LÄN</t>
        </is>
      </c>
      <c r="G452" t="inlineStr">
        <is>
          <t>BENGTSFORS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43449-2022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44835</v>
      </c>
      <c r="E453" s="1" t="n">
        <v>46221</v>
      </c>
      <c r="F453" t="inlineStr">
        <is>
          <t>VÄSTRA GÖTALANDS LÄN</t>
        </is>
      </c>
      <c r="G453" t="inlineStr">
        <is>
          <t>BENGTSFORS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63724-2025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46010</v>
      </c>
      <c r="E454" s="1" t="n">
        <v>46221</v>
      </c>
      <c r="F454" t="inlineStr">
        <is>
          <t>VÄSTRA GÖTALANDS LÄN</t>
        </is>
      </c>
      <c r="G454" t="inlineStr">
        <is>
          <t>BENGTSFORS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36881-2025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45874</v>
      </c>
      <c r="E455" s="1" t="n">
        <v>46221</v>
      </c>
      <c r="F455" t="inlineStr">
        <is>
          <t>VÄSTRA GÖTALANDS LÄN</t>
        </is>
      </c>
      <c r="G455" t="inlineStr">
        <is>
          <t>BENGTSFORS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13953-2023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45008</v>
      </c>
      <c r="E456" s="1" t="n">
        <v>46221</v>
      </c>
      <c r="F456" t="inlineStr">
        <is>
          <t>VÄSTRA GÖTALANDS LÄN</t>
        </is>
      </c>
      <c r="G456" t="inlineStr">
        <is>
          <t>BENGTSFORS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11885-2024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45376</v>
      </c>
      <c r="E457" s="1" t="n">
        <v>46221</v>
      </c>
      <c r="F457" t="inlineStr">
        <is>
          <t>VÄSTRA GÖTALANDS LÄN</t>
        </is>
      </c>
      <c r="G457" t="inlineStr">
        <is>
          <t>BENGTSFORS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59468-2024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45638</v>
      </c>
      <c r="E458" s="1" t="n">
        <v>46221</v>
      </c>
      <c r="F458" t="inlineStr">
        <is>
          <t>VÄSTRA GÖTALANDS LÄN</t>
        </is>
      </c>
      <c r="G458" t="inlineStr">
        <is>
          <t>BENGTSFORS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2298-2022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44578</v>
      </c>
      <c r="E459" s="1" t="n">
        <v>46221</v>
      </c>
      <c r="F459" t="inlineStr">
        <is>
          <t>VÄSTRA GÖTALANDS LÄN</t>
        </is>
      </c>
      <c r="G459" t="inlineStr">
        <is>
          <t>BENGTSFORS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1286-2022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44572</v>
      </c>
      <c r="E460" s="1" t="n">
        <v>46221</v>
      </c>
      <c r="F460" t="inlineStr">
        <is>
          <t>VÄSTRA GÖTALANDS LÄN</t>
        </is>
      </c>
      <c r="G460" t="inlineStr">
        <is>
          <t>BENGTSFORS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1315-2022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44572</v>
      </c>
      <c r="E461" s="1" t="n">
        <v>46221</v>
      </c>
      <c r="F461" t="inlineStr">
        <is>
          <t>VÄSTRA GÖTALANDS LÄN</t>
        </is>
      </c>
      <c r="G461" t="inlineStr">
        <is>
          <t>BENGTSFORS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41118-2023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46221</v>
      </c>
      <c r="F462" t="inlineStr">
        <is>
          <t>VÄSTRA GÖTALANDS LÄN</t>
        </is>
      </c>
      <c r="G462" t="inlineStr">
        <is>
          <t>BENGTSFORS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50956-2023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45218</v>
      </c>
      <c r="E463" s="1" t="n">
        <v>46221</v>
      </c>
      <c r="F463" t="inlineStr">
        <is>
          <t>VÄSTRA GÖTALANDS LÄN</t>
        </is>
      </c>
      <c r="G463" t="inlineStr">
        <is>
          <t>BENGTSFORS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57976-2024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45631</v>
      </c>
      <c r="E464" s="1" t="n">
        <v>46221</v>
      </c>
      <c r="F464" t="inlineStr">
        <is>
          <t>VÄSTRA GÖTALANDS LÄN</t>
        </is>
      </c>
      <c r="G464" t="inlineStr">
        <is>
          <t>BENGTSFORS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48965-2025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45937</v>
      </c>
      <c r="E465" s="1" t="n">
        <v>46221</v>
      </c>
      <c r="F465" t="inlineStr">
        <is>
          <t>VÄSTRA GÖTALANDS LÄN</t>
        </is>
      </c>
      <c r="G465" t="inlineStr">
        <is>
          <t>BENGTSFORS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64837-2021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44512</v>
      </c>
      <c r="E466" s="1" t="n">
        <v>46221</v>
      </c>
      <c r="F466" t="inlineStr">
        <is>
          <t>VÄSTRA GÖTALANDS LÄN</t>
        </is>
      </c>
      <c r="G466" t="inlineStr">
        <is>
          <t>BENGTSFORS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73585-2021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44552</v>
      </c>
      <c r="E467" s="1" t="n">
        <v>46221</v>
      </c>
      <c r="F467" t="inlineStr">
        <is>
          <t>VÄSTRA GÖTALANDS LÄN</t>
        </is>
      </c>
      <c r="G467" t="inlineStr">
        <is>
          <t>BENGTSFORS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45605-2024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45579</v>
      </c>
      <c r="E468" s="1" t="n">
        <v>46221</v>
      </c>
      <c r="F468" t="inlineStr">
        <is>
          <t>VÄSTRA GÖTALANDS LÄN</t>
        </is>
      </c>
      <c r="G468" t="inlineStr">
        <is>
          <t>BENGTSFORS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13665-2022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44648</v>
      </c>
      <c r="E469" s="1" t="n">
        <v>46221</v>
      </c>
      <c r="F469" t="inlineStr">
        <is>
          <t>VÄSTRA GÖTALANDS LÄN</t>
        </is>
      </c>
      <c r="G469" t="inlineStr">
        <is>
          <t>BENGTSFORS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44653-2025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45917</v>
      </c>
      <c r="E470" s="1" t="n">
        <v>46221</v>
      </c>
      <c r="F470" t="inlineStr">
        <is>
          <t>VÄSTRA GÖTALANDS LÄN</t>
        </is>
      </c>
      <c r="G470" t="inlineStr">
        <is>
          <t>BENGTSFORS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12799-2022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44642</v>
      </c>
      <c r="E471" s="1" t="n">
        <v>46221</v>
      </c>
      <c r="F471" t="inlineStr">
        <is>
          <t>VÄSTRA GÖTALANDS LÄN</t>
        </is>
      </c>
      <c r="G471" t="inlineStr">
        <is>
          <t>BENGTSFORS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24332-2025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45797</v>
      </c>
      <c r="E472" s="1" t="n">
        <v>46221</v>
      </c>
      <c r="F472" t="inlineStr">
        <is>
          <t>VÄSTRA GÖTALANDS LÄN</t>
        </is>
      </c>
      <c r="G472" t="inlineStr">
        <is>
          <t>BENGTSFORS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22649-2023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45071</v>
      </c>
      <c r="E473" s="1" t="n">
        <v>46221</v>
      </c>
      <c r="F473" t="inlineStr">
        <is>
          <t>VÄSTRA GÖTALANDS LÄN</t>
        </is>
      </c>
      <c r="G473" t="inlineStr">
        <is>
          <t>BENGTSFORS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44654-2025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45917</v>
      </c>
      <c r="E474" s="1" t="n">
        <v>46221</v>
      </c>
      <c r="F474" t="inlineStr">
        <is>
          <t>VÄSTRA GÖTALANDS LÄN</t>
        </is>
      </c>
      <c r="G474" t="inlineStr">
        <is>
          <t>BENGTSFORS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43575-2023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45181</v>
      </c>
      <c r="E475" s="1" t="n">
        <v>46221</v>
      </c>
      <c r="F475" t="inlineStr">
        <is>
          <t>VÄSTRA GÖTALANDS LÄN</t>
        </is>
      </c>
      <c r="G475" t="inlineStr">
        <is>
          <t>BENGTSFORS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4427-2024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45327</v>
      </c>
      <c r="E476" s="1" t="n">
        <v>46221</v>
      </c>
      <c r="F476" t="inlineStr">
        <is>
          <t>VÄSTRA GÖTALANDS LÄN</t>
        </is>
      </c>
      <c r="G476" t="inlineStr">
        <is>
          <t>BENGTSFORS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  <c r="X476">
        <f>HYPERLINK("https://klasma.github.io/Logging_1460/knärot/A 4427-2024 karta knärot.png", "A 4427-2024")</f>
        <v/>
      </c>
      <c r="Y476">
        <f>HYPERLINK("https://klasma.github.io/Logging_1460/klagomål/A 4427-2024 FSC-klagomål.docx", "A 4427-2024")</f>
        <v/>
      </c>
      <c r="Z476">
        <f>HYPERLINK("https://klasma.github.io/Logging_1460/klagomålsmail/A 4427-2024 FSC-klagomål mail.docx", "A 4427-2024")</f>
        <v/>
      </c>
      <c r="AA476">
        <f>HYPERLINK("https://klasma.github.io/Logging_1460/tillsyn/A 4427-2024 tillsynsbegäran.docx", "A 4427-2024")</f>
        <v/>
      </c>
      <c r="AB476">
        <f>HYPERLINK("https://klasma.github.io/Logging_1460/tillsynsmail/A 4427-2024 tillsynsbegäran mail.docx", "A 4427-2024")</f>
        <v/>
      </c>
    </row>
    <row r="477" ht="15" customHeight="1">
      <c r="A477" t="inlineStr">
        <is>
          <t>A 8797-2025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45712</v>
      </c>
      <c r="E477" s="1" t="n">
        <v>46221</v>
      </c>
      <c r="F477" t="inlineStr">
        <is>
          <t>VÄSTRA GÖTALANDS LÄN</t>
        </is>
      </c>
      <c r="G477" t="inlineStr">
        <is>
          <t>BENGTSFORS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19294-2022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44692</v>
      </c>
      <c r="E478" s="1" t="n">
        <v>46221</v>
      </c>
      <c r="F478" t="inlineStr">
        <is>
          <t>VÄSTRA GÖTALANDS LÄN</t>
        </is>
      </c>
      <c r="G478" t="inlineStr">
        <is>
          <t>BENGTSFORS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11265-2022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44629</v>
      </c>
      <c r="E479" s="1" t="n">
        <v>46221</v>
      </c>
      <c r="F479" t="inlineStr">
        <is>
          <t>VÄSTRA GÖTALANDS LÄN</t>
        </is>
      </c>
      <c r="G479" t="inlineStr">
        <is>
          <t>BENGTSFORS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41865-2023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45176</v>
      </c>
      <c r="E480" s="1" t="n">
        <v>46221</v>
      </c>
      <c r="F480" t="inlineStr">
        <is>
          <t>VÄSTRA GÖTALANDS LÄN</t>
        </is>
      </c>
      <c r="G480" t="inlineStr">
        <is>
          <t>BENGTSFORS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26028-2026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46221</v>
      </c>
      <c r="F481" t="inlineStr">
        <is>
          <t>VÄSTRA GÖTALANDS LÄN</t>
        </is>
      </c>
      <c r="G481" t="inlineStr">
        <is>
          <t>BENGTSFORS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45663</v>
      </c>
      <c r="E482" s="1" t="n">
        <v>46221</v>
      </c>
      <c r="F482" t="inlineStr">
        <is>
          <t>VÄSTRA GÖTALANDS LÄN</t>
        </is>
      </c>
      <c r="G482" t="inlineStr">
        <is>
          <t>BENGTSFORS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40856-2024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45558</v>
      </c>
      <c r="E483" s="1" t="n">
        <v>46221</v>
      </c>
      <c r="F483" t="inlineStr">
        <is>
          <t>VÄSTRA GÖTALANDS LÄN</t>
        </is>
      </c>
      <c r="G483" t="inlineStr">
        <is>
          <t>BENGTSFORS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25937-2025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45804</v>
      </c>
      <c r="E484" s="1" t="n">
        <v>46221</v>
      </c>
      <c r="F484" t="inlineStr">
        <is>
          <t>VÄSTRA GÖTALANDS LÄN</t>
        </is>
      </c>
      <c r="G484" t="inlineStr">
        <is>
          <t>BENGTSFORS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47853-2025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46221</v>
      </c>
      <c r="F485" t="inlineStr">
        <is>
          <t>VÄSTRA GÖTALANDS LÄN</t>
        </is>
      </c>
      <c r="G485" t="inlineStr">
        <is>
          <t>BENGTSFORS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19868-2023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45054</v>
      </c>
      <c r="E486" s="1" t="n">
        <v>46221</v>
      </c>
      <c r="F486" t="inlineStr">
        <is>
          <t>VÄSTRA GÖTALANDS LÄN</t>
        </is>
      </c>
      <c r="G486" t="inlineStr">
        <is>
          <t>BENGTSFORS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56544-2025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45975</v>
      </c>
      <c r="E487" s="1" t="n">
        <v>46221</v>
      </c>
      <c r="F487" t="inlineStr">
        <is>
          <t>VÄSTRA GÖTALANDS LÄN</t>
        </is>
      </c>
      <c r="G487" t="inlineStr">
        <is>
          <t>BENGTSFORS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34129-2024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45524</v>
      </c>
      <c r="E488" s="1" t="n">
        <v>46221</v>
      </c>
      <c r="F488" t="inlineStr">
        <is>
          <t>VÄSTRA GÖTALANDS LÄN</t>
        </is>
      </c>
      <c r="G488" t="inlineStr">
        <is>
          <t>BENGTSFORS</t>
        </is>
      </c>
      <c r="I488" t="n">
        <v>10.6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45688</v>
      </c>
      <c r="E489" s="1" t="n">
        <v>46221</v>
      </c>
      <c r="F489" t="inlineStr">
        <is>
          <t>VÄSTRA GÖTALANDS LÄN</t>
        </is>
      </c>
      <c r="G489" t="inlineStr">
        <is>
          <t>BENGTSFORS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53730-2025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45960</v>
      </c>
      <c r="E490" s="1" t="n">
        <v>46221</v>
      </c>
      <c r="F490" t="inlineStr">
        <is>
          <t>VÄSTRA GÖTALANDS LÄN</t>
        </is>
      </c>
      <c r="G490" t="inlineStr">
        <is>
          <t>BENGTSFORS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19557-2023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45050</v>
      </c>
      <c r="E491" s="1" t="n">
        <v>46221</v>
      </c>
      <c r="F491" t="inlineStr">
        <is>
          <t>VÄSTRA GÖTALANDS LÄN</t>
        </is>
      </c>
      <c r="G491" t="inlineStr">
        <is>
          <t>BENGTSFORS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27739-2023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46221</v>
      </c>
      <c r="F492" t="inlineStr">
        <is>
          <t>VÄSTRA GÖTALANDS LÄN</t>
        </is>
      </c>
      <c r="G492" t="inlineStr">
        <is>
          <t>BENGTSFORS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12257-2022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44637</v>
      </c>
      <c r="E493" s="1" t="n">
        <v>46221</v>
      </c>
      <c r="F493" t="inlineStr">
        <is>
          <t>VÄSTRA GÖTALANDS LÄN</t>
        </is>
      </c>
      <c r="G493" t="inlineStr">
        <is>
          <t>BENGTSFORS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26027-2026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46181</v>
      </c>
      <c r="E494" s="1" t="n">
        <v>46221</v>
      </c>
      <c r="F494" t="inlineStr">
        <is>
          <t>VÄSTRA GÖTALANDS LÄN</t>
        </is>
      </c>
      <c r="G494" t="inlineStr">
        <is>
          <t>BENGTSFORS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38809-2024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45547</v>
      </c>
      <c r="E495" s="1" t="n">
        <v>46221</v>
      </c>
      <c r="F495" t="inlineStr">
        <is>
          <t>VÄSTRA GÖTALANDS LÄN</t>
        </is>
      </c>
      <c r="G495" t="inlineStr">
        <is>
          <t>BENGTSFORS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4760-2022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44592</v>
      </c>
      <c r="E496" s="1" t="n">
        <v>46221</v>
      </c>
      <c r="F496" t="inlineStr">
        <is>
          <t>VÄSTRA GÖTALANDS LÄN</t>
        </is>
      </c>
      <c r="G496" t="inlineStr">
        <is>
          <t>BENGTSFORS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42532-2022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44831</v>
      </c>
      <c r="E497" s="1" t="n">
        <v>46221</v>
      </c>
      <c r="F497" t="inlineStr">
        <is>
          <t>VÄSTRA GÖTALANDS LÄN</t>
        </is>
      </c>
      <c r="G497" t="inlineStr">
        <is>
          <t>BENGTSFORS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39241-2025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45889</v>
      </c>
      <c r="E498" s="1" t="n">
        <v>46221</v>
      </c>
      <c r="F498" t="inlineStr">
        <is>
          <t>VÄSTRA GÖTALANDS LÄN</t>
        </is>
      </c>
      <c r="G498" t="inlineStr">
        <is>
          <t>BENGTSFORS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27832-2023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45098</v>
      </c>
      <c r="E499" s="1" t="n">
        <v>46221</v>
      </c>
      <c r="F499" t="inlineStr">
        <is>
          <t>VÄSTRA GÖTALANDS LÄN</t>
        </is>
      </c>
      <c r="G499" t="inlineStr">
        <is>
          <t>BENGTSFORS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27835-2023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45098</v>
      </c>
      <c r="E500" s="1" t="n">
        <v>46221</v>
      </c>
      <c r="F500" t="inlineStr">
        <is>
          <t>VÄSTRA GÖTALANDS LÄN</t>
        </is>
      </c>
      <c r="G500" t="inlineStr">
        <is>
          <t>BENGTSFORS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62150-2025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46221</v>
      </c>
      <c r="F501" t="inlineStr">
        <is>
          <t>VÄSTRA GÖTALANDS LÄN</t>
        </is>
      </c>
      <c r="G501" t="inlineStr">
        <is>
          <t>BENGTSFORS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37341-2024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45540</v>
      </c>
      <c r="E502" s="1" t="n">
        <v>46221</v>
      </c>
      <c r="F502" t="inlineStr">
        <is>
          <t>VÄSTRA GÖTALANDS LÄN</t>
        </is>
      </c>
      <c r="G502" t="inlineStr">
        <is>
          <t>BENGTSFORS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50005-2023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45215</v>
      </c>
      <c r="E503" s="1" t="n">
        <v>46221</v>
      </c>
      <c r="F503" t="inlineStr">
        <is>
          <t>VÄSTRA GÖTALANDS LÄN</t>
        </is>
      </c>
      <c r="G503" t="inlineStr">
        <is>
          <t>BENGTSFORS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28498-2023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45103</v>
      </c>
      <c r="E504" s="1" t="n">
        <v>46221</v>
      </c>
      <c r="F504" t="inlineStr">
        <is>
          <t>VÄSTRA GÖTALANDS LÄN</t>
        </is>
      </c>
      <c r="G504" t="inlineStr">
        <is>
          <t>BENGTSFORS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25786-2023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46221</v>
      </c>
      <c r="F505" t="inlineStr">
        <is>
          <t>VÄSTRA GÖTALANDS LÄN</t>
        </is>
      </c>
      <c r="G505" t="inlineStr">
        <is>
          <t>BENGTSFORS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20284-2022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44698</v>
      </c>
      <c r="E506" s="1" t="n">
        <v>46221</v>
      </c>
      <c r="F506" t="inlineStr">
        <is>
          <t>VÄSTRA GÖTALANDS LÄN</t>
        </is>
      </c>
      <c r="G506" t="inlineStr">
        <is>
          <t>BENGTSFORS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25832-2023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46221</v>
      </c>
      <c r="F507" t="inlineStr">
        <is>
          <t>VÄSTRA GÖTALANDS LÄN</t>
        </is>
      </c>
      <c r="G507" t="inlineStr">
        <is>
          <t>BENGTSFORS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29638-2025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45825</v>
      </c>
      <c r="E508" s="1" t="n">
        <v>46221</v>
      </c>
      <c r="F508" t="inlineStr">
        <is>
          <t>VÄSTRA GÖTALANDS LÄN</t>
        </is>
      </c>
      <c r="G508" t="inlineStr">
        <is>
          <t>BENGTSFORS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29470-2025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45824</v>
      </c>
      <c r="E509" s="1" t="n">
        <v>46221</v>
      </c>
      <c r="F509" t="inlineStr">
        <is>
          <t>VÄSTRA GÖTALANDS LÄN</t>
        </is>
      </c>
      <c r="G509" t="inlineStr">
        <is>
          <t>BENGTSFORS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9097-2022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44615</v>
      </c>
      <c r="E510" s="1" t="n">
        <v>46221</v>
      </c>
      <c r="F510" t="inlineStr">
        <is>
          <t>VÄSTRA GÖTALANDS LÄN</t>
        </is>
      </c>
      <c r="G510" t="inlineStr">
        <is>
          <t>BENGTSFORS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34393-2025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45846</v>
      </c>
      <c r="E511" s="1" t="n">
        <v>46221</v>
      </c>
      <c r="F511" t="inlineStr">
        <is>
          <t>VÄSTRA GÖTALANDS LÄN</t>
        </is>
      </c>
      <c r="G511" t="inlineStr">
        <is>
          <t>BENGTSFORS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14617-2022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44655</v>
      </c>
      <c r="E512" s="1" t="n">
        <v>46221</v>
      </c>
      <c r="F512" t="inlineStr">
        <is>
          <t>VÄSTRA GÖTALANDS LÄN</t>
        </is>
      </c>
      <c r="G512" t="inlineStr">
        <is>
          <t>BENGTSFORS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59169-2024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45637</v>
      </c>
      <c r="E513" s="1" t="n">
        <v>46221</v>
      </c>
      <c r="F513" t="inlineStr">
        <is>
          <t>VÄSTRA GÖTALANDS LÄN</t>
        </is>
      </c>
      <c r="G513" t="inlineStr">
        <is>
          <t>BENGTSFORS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5581-2025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45693</v>
      </c>
      <c r="E514" s="1" t="n">
        <v>46221</v>
      </c>
      <c r="F514" t="inlineStr">
        <is>
          <t>VÄSTRA GÖTALANDS LÄN</t>
        </is>
      </c>
      <c r="G514" t="inlineStr">
        <is>
          <t>BENGTSFORS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20073-2026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46136</v>
      </c>
      <c r="E515" s="1" t="n">
        <v>46221</v>
      </c>
      <c r="F515" t="inlineStr">
        <is>
          <t>VÄSTRA GÖTALANDS LÄN</t>
        </is>
      </c>
      <c r="G515" t="inlineStr">
        <is>
          <t>BENGTSFORS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54476-2022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44876</v>
      </c>
      <c r="E516" s="1" t="n">
        <v>46221</v>
      </c>
      <c r="F516" t="inlineStr">
        <is>
          <t>VÄSTRA GÖTALANDS LÄN</t>
        </is>
      </c>
      <c r="G516" t="inlineStr">
        <is>
          <t>BENGTSFORS</t>
        </is>
      </c>
      <c r="H516" t="inlineStr">
        <is>
          <t>Bergvik skog väst AB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6255-2025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45698</v>
      </c>
      <c r="E517" s="1" t="n">
        <v>46221</v>
      </c>
      <c r="F517" t="inlineStr">
        <is>
          <t>VÄSTRA GÖTALANDS LÄN</t>
        </is>
      </c>
      <c r="G517" t="inlineStr">
        <is>
          <t>BENGTSFORS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46764-2023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45195</v>
      </c>
      <c r="E518" s="1" t="n">
        <v>46221</v>
      </c>
      <c r="F518" t="inlineStr">
        <is>
          <t>VÄSTRA GÖTALANDS LÄN</t>
        </is>
      </c>
      <c r="G518" t="inlineStr">
        <is>
          <t>BENGTSFORS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16936-2022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44676</v>
      </c>
      <c r="E519" s="1" t="n">
        <v>46221</v>
      </c>
      <c r="F519" t="inlineStr">
        <is>
          <t>VÄSTRA GÖTALANDS LÄN</t>
        </is>
      </c>
      <c r="G519" t="inlineStr">
        <is>
          <t>BENGTSFORS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28302-2025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45818</v>
      </c>
      <c r="E520" s="1" t="n">
        <v>46221</v>
      </c>
      <c r="F520" t="inlineStr">
        <is>
          <t>VÄSTRA GÖTALANDS LÄN</t>
        </is>
      </c>
      <c r="G520" t="inlineStr">
        <is>
          <t>BENGTSFORS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60023-2023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45258</v>
      </c>
      <c r="E521" s="1" t="n">
        <v>46221</v>
      </c>
      <c r="F521" t="inlineStr">
        <is>
          <t>VÄSTRA GÖTALANDS LÄN</t>
        </is>
      </c>
      <c r="G521" t="inlineStr">
        <is>
          <t>BENGTSFORS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26778-2025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45810</v>
      </c>
      <c r="E522" s="1" t="n">
        <v>46221</v>
      </c>
      <c r="F522" t="inlineStr">
        <is>
          <t>VÄSTRA GÖTALANDS LÄN</t>
        </is>
      </c>
      <c r="G522" t="inlineStr">
        <is>
          <t>BENGTSFORS</t>
        </is>
      </c>
      <c r="I522" t="n">
        <v>9.4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7867-2022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44608</v>
      </c>
      <c r="E523" s="1" t="n">
        <v>46221</v>
      </c>
      <c r="F523" t="inlineStr">
        <is>
          <t>VÄSTRA GÖTALANDS LÄN</t>
        </is>
      </c>
      <c r="G523" t="inlineStr">
        <is>
          <t>BENGTSFORS</t>
        </is>
      </c>
      <c r="I523" t="n">
        <v>9.199999999999999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41314-2022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44826</v>
      </c>
      <c r="E524" s="1" t="n">
        <v>46221</v>
      </c>
      <c r="F524" t="inlineStr">
        <is>
          <t>VÄSTRA GÖTALANDS LÄN</t>
        </is>
      </c>
      <c r="G524" t="inlineStr">
        <is>
          <t>BENGTSFORS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32703-2023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46221</v>
      </c>
      <c r="F525" t="inlineStr">
        <is>
          <t>VÄSTRA GÖTALANDS LÄN</t>
        </is>
      </c>
      <c r="G525" t="inlineStr">
        <is>
          <t>BENGTSFORS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21172-2022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44704</v>
      </c>
      <c r="E526" s="1" t="n">
        <v>46221</v>
      </c>
      <c r="F526" t="inlineStr">
        <is>
          <t>VÄSTRA GÖTALANDS LÄN</t>
        </is>
      </c>
      <c r="G526" t="inlineStr">
        <is>
          <t>BENGTSFORS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45307</v>
      </c>
      <c r="E527" s="1" t="n">
        <v>46221</v>
      </c>
      <c r="F527" t="inlineStr">
        <is>
          <t>VÄSTRA GÖTALANDS LÄN</t>
        </is>
      </c>
      <c r="G527" t="inlineStr">
        <is>
          <t>BENGTSFORS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21552-2022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44706</v>
      </c>
      <c r="E528" s="1" t="n">
        <v>46221</v>
      </c>
      <c r="F528" t="inlineStr">
        <is>
          <t>VÄSTRA GÖTALANDS LÄN</t>
        </is>
      </c>
      <c r="G528" t="inlineStr">
        <is>
          <t>BENGTSFORS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27364-2026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46184</v>
      </c>
      <c r="E529" s="1" t="n">
        <v>46221</v>
      </c>
      <c r="F529" t="inlineStr">
        <is>
          <t>VÄSTRA GÖTALANDS LÄN</t>
        </is>
      </c>
      <c r="G529" t="inlineStr">
        <is>
          <t>BENGTSFORS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17477-2024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45415</v>
      </c>
      <c r="E530" s="1" t="n">
        <v>46221</v>
      </c>
      <c r="F530" t="inlineStr">
        <is>
          <t>VÄSTRA GÖTALANDS LÄN</t>
        </is>
      </c>
      <c r="G530" t="inlineStr">
        <is>
          <t>BENGTSFORS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21455-2026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46146</v>
      </c>
      <c r="E531" s="1" t="n">
        <v>46221</v>
      </c>
      <c r="F531" t="inlineStr">
        <is>
          <t>VÄSTRA GÖTALANDS LÄN</t>
        </is>
      </c>
      <c r="G531" t="inlineStr">
        <is>
          <t>BENGTSFORS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59980-2023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45257</v>
      </c>
      <c r="E532" s="1" t="n">
        <v>46221</v>
      </c>
      <c r="F532" t="inlineStr">
        <is>
          <t>VÄSTRA GÖTALANDS LÄN</t>
        </is>
      </c>
      <c r="G532" t="inlineStr">
        <is>
          <t>BENGTSFORS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11739-2025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45727</v>
      </c>
      <c r="E533" s="1" t="n">
        <v>46221</v>
      </c>
      <c r="F533" t="inlineStr">
        <is>
          <t>VÄSTRA GÖTALANDS LÄN</t>
        </is>
      </c>
      <c r="G533" t="inlineStr">
        <is>
          <t>BENGTSFORS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54590-2023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45233</v>
      </c>
      <c r="E534" s="1" t="n">
        <v>46221</v>
      </c>
      <c r="F534" t="inlineStr">
        <is>
          <t>VÄSTRA GÖTALANDS LÄN</t>
        </is>
      </c>
      <c r="G534" t="inlineStr">
        <is>
          <t>BENGTSFORS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27617-2026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46190</v>
      </c>
      <c r="E535" s="1" t="n">
        <v>46221</v>
      </c>
      <c r="F535" t="inlineStr">
        <is>
          <t>VÄSTRA GÖTALANDS LÄN</t>
        </is>
      </c>
      <c r="G535" t="inlineStr">
        <is>
          <t>BENGTSFORS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27612-2026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46221</v>
      </c>
      <c r="F536" t="inlineStr">
        <is>
          <t>VÄSTRA GÖTALANDS LÄN</t>
        </is>
      </c>
      <c r="G536" t="inlineStr">
        <is>
          <t>BENGTSFORS</t>
        </is>
      </c>
      <c r="I536" t="n">
        <v>7.3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27616-2026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46221</v>
      </c>
      <c r="F537" t="inlineStr">
        <is>
          <t>VÄSTRA GÖTALANDS LÄN</t>
        </is>
      </c>
      <c r="G537" t="inlineStr">
        <is>
          <t>BENGTSFORS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56001-2022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44889</v>
      </c>
      <c r="E538" s="1" t="n">
        <v>46221</v>
      </c>
      <c r="F538" t="inlineStr">
        <is>
          <t>VÄSTRA GÖTALANDS LÄN</t>
        </is>
      </c>
      <c r="G538" t="inlineStr">
        <is>
          <t>BENGTSFORS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60660-2023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45260</v>
      </c>
      <c r="E539" s="1" t="n">
        <v>46221</v>
      </c>
      <c r="F539" t="inlineStr">
        <is>
          <t>VÄSTRA GÖTALANDS LÄN</t>
        </is>
      </c>
      <c r="G539" t="inlineStr">
        <is>
          <t>BENGTSFORS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2378-2024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45310</v>
      </c>
      <c r="E540" s="1" t="n">
        <v>46221</v>
      </c>
      <c r="F540" t="inlineStr">
        <is>
          <t>VÄSTRA GÖTALANDS LÄN</t>
        </is>
      </c>
      <c r="G540" t="inlineStr">
        <is>
          <t>BENGTSFORS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27899-2026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46191</v>
      </c>
      <c r="E541" s="1" t="n">
        <v>46221</v>
      </c>
      <c r="F541" t="inlineStr">
        <is>
          <t>VÄSTRA GÖTALANDS LÄN</t>
        </is>
      </c>
      <c r="G541" t="inlineStr">
        <is>
          <t>BENGTSFORS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46323-2021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44442</v>
      </c>
      <c r="E542" s="1" t="n">
        <v>46221</v>
      </c>
      <c r="F542" t="inlineStr">
        <is>
          <t>VÄSTRA GÖTALANDS LÄN</t>
        </is>
      </c>
      <c r="G542" t="inlineStr">
        <is>
          <t>BENGTSFORS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29229-2022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44750</v>
      </c>
      <c r="E543" s="1" t="n">
        <v>46221</v>
      </c>
      <c r="F543" t="inlineStr">
        <is>
          <t>VÄSTRA GÖTALANDS LÄN</t>
        </is>
      </c>
      <c r="G543" t="inlineStr">
        <is>
          <t>BENGTSFORS</t>
        </is>
      </c>
      <c r="I543" t="n">
        <v>22.1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5687-2022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44596</v>
      </c>
      <c r="E544" s="1" t="n">
        <v>46221</v>
      </c>
      <c r="F544" t="inlineStr">
        <is>
          <t>VÄSTRA GÖTALANDS LÄN</t>
        </is>
      </c>
      <c r="G544" t="inlineStr">
        <is>
          <t>BENGTSFORS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60491-2021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44496</v>
      </c>
      <c r="E545" s="1" t="n">
        <v>46221</v>
      </c>
      <c r="F545" t="inlineStr">
        <is>
          <t>VÄSTRA GÖTALANDS LÄN</t>
        </is>
      </c>
      <c r="G545" t="inlineStr">
        <is>
          <t>BENGTSFORS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6816-2023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44967</v>
      </c>
      <c r="E546" s="1" t="n">
        <v>46221</v>
      </c>
      <c r="F546" t="inlineStr">
        <is>
          <t>VÄSTRA GÖTALANDS LÄN</t>
        </is>
      </c>
      <c r="G546" t="inlineStr">
        <is>
          <t>BENGTSFORS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44935</v>
      </c>
      <c r="E547" s="1" t="n">
        <v>46221</v>
      </c>
      <c r="F547" t="inlineStr">
        <is>
          <t>VÄSTRA GÖTALANDS LÄN</t>
        </is>
      </c>
      <c r="G547" t="inlineStr">
        <is>
          <t>BENGTSFORS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27865-2026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46221</v>
      </c>
      <c r="F548" t="inlineStr">
        <is>
          <t>VÄSTRA GÖTALANDS LÄN</t>
        </is>
      </c>
      <c r="G548" t="inlineStr">
        <is>
          <t>BENGTSFORS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59616-2022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44907</v>
      </c>
      <c r="E549" s="1" t="n">
        <v>46221</v>
      </c>
      <c r="F549" t="inlineStr">
        <is>
          <t>VÄSTRA GÖTALANDS LÄN</t>
        </is>
      </c>
      <c r="G549" t="inlineStr">
        <is>
          <t>BENGTSFORS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42042-2022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44830</v>
      </c>
      <c r="E550" s="1" t="n">
        <v>46221</v>
      </c>
      <c r="F550" t="inlineStr">
        <is>
          <t>VÄSTRA GÖTALANDS LÄN</t>
        </is>
      </c>
      <c r="G550" t="inlineStr">
        <is>
          <t>BENGTSFORS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27895-2026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46191</v>
      </c>
      <c r="E551" s="1" t="n">
        <v>46221</v>
      </c>
      <c r="F551" t="inlineStr">
        <is>
          <t>VÄSTRA GÖTALANDS LÄN</t>
        </is>
      </c>
      <c r="G551" t="inlineStr">
        <is>
          <t>BENGTSFORS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28355-2026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46221</v>
      </c>
      <c r="F552" t="inlineStr">
        <is>
          <t>VÄSTRA GÖTALANDS LÄN</t>
        </is>
      </c>
      <c r="G552" t="inlineStr">
        <is>
          <t>BENGTSFORS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60105-2021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44495</v>
      </c>
      <c r="E553" s="1" t="n">
        <v>46221</v>
      </c>
      <c r="F553" t="inlineStr">
        <is>
          <t>VÄSTRA GÖTALANDS LÄN</t>
        </is>
      </c>
      <c r="G553" t="inlineStr">
        <is>
          <t>BENGTSFORS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15104-2024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45399</v>
      </c>
      <c r="E554" s="1" t="n">
        <v>46221</v>
      </c>
      <c r="F554" t="inlineStr">
        <is>
          <t>VÄSTRA GÖTALANDS LÄN</t>
        </is>
      </c>
      <c r="G554" t="inlineStr">
        <is>
          <t>BENGTSFORS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33824-2024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45520</v>
      </c>
      <c r="E555" s="1" t="n">
        <v>46221</v>
      </c>
      <c r="F555" t="inlineStr">
        <is>
          <t>VÄSTRA GÖTALANDS LÄN</t>
        </is>
      </c>
      <c r="G555" t="inlineStr">
        <is>
          <t>BENGTSFORS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5759-2024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45335</v>
      </c>
      <c r="E556" s="1" t="n">
        <v>46221</v>
      </c>
      <c r="F556" t="inlineStr">
        <is>
          <t>VÄSTRA GÖTALANDS LÄN</t>
        </is>
      </c>
      <c r="G556" t="inlineStr">
        <is>
          <t>BENGTSFORS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44812-2024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45574</v>
      </c>
      <c r="E557" s="1" t="n">
        <v>46221</v>
      </c>
      <c r="F557" t="inlineStr">
        <is>
          <t>VÄSTRA GÖTALANDS LÄN</t>
        </is>
      </c>
      <c r="G557" t="inlineStr">
        <is>
          <t>BENGTSFORS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53531-2023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45230</v>
      </c>
      <c r="E558" s="1" t="n">
        <v>46221</v>
      </c>
      <c r="F558" t="inlineStr">
        <is>
          <t>VÄSTRA GÖTALANDS LÄN</t>
        </is>
      </c>
      <c r="G558" t="inlineStr">
        <is>
          <t>BENGTSFORS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55998-2022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44889</v>
      </c>
      <c r="E559" s="1" t="n">
        <v>46221</v>
      </c>
      <c r="F559" t="inlineStr">
        <is>
          <t>VÄSTRA GÖTALANDS LÄN</t>
        </is>
      </c>
      <c r="G559" t="inlineStr">
        <is>
          <t>BENGTSFORS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20164-2025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45772</v>
      </c>
      <c r="E560" s="1" t="n">
        <v>46221</v>
      </c>
      <c r="F560" t="inlineStr">
        <is>
          <t>VÄSTRA GÖTALANDS LÄN</t>
        </is>
      </c>
      <c r="G560" t="inlineStr">
        <is>
          <t>BENGTSFORS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22042-2026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46153</v>
      </c>
      <c r="E561" s="1" t="n">
        <v>46221</v>
      </c>
      <c r="F561" t="inlineStr">
        <is>
          <t>VÄSTRA GÖTALANDS LÄN</t>
        </is>
      </c>
      <c r="G561" t="inlineStr">
        <is>
          <t>BENGTSFORS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40838-2024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46221</v>
      </c>
      <c r="F562" t="inlineStr">
        <is>
          <t>VÄSTRA GÖTALANDS LÄN</t>
        </is>
      </c>
      <c r="G562" t="inlineStr">
        <is>
          <t>BENGTSFORS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45673</v>
      </c>
      <c r="E563" s="1" t="n">
        <v>46221</v>
      </c>
      <c r="F563" t="inlineStr">
        <is>
          <t>VÄSTRA GÖTALANDS LÄN</t>
        </is>
      </c>
      <c r="G563" t="inlineStr">
        <is>
          <t>BENGTSFORS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60177-2023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45258</v>
      </c>
      <c r="E564" s="1" t="n">
        <v>46221</v>
      </c>
      <c r="F564" t="inlineStr">
        <is>
          <t>VÄSTRA GÖTALANDS LÄN</t>
        </is>
      </c>
      <c r="G564" t="inlineStr">
        <is>
          <t>BENGTSFORS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50946-2023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45218</v>
      </c>
      <c r="E565" s="1" t="n">
        <v>46221</v>
      </c>
      <c r="F565" t="inlineStr">
        <is>
          <t>VÄSTRA GÖTALANDS LÄN</t>
        </is>
      </c>
      <c r="G565" t="inlineStr">
        <is>
          <t>BENGTSFORS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28666-2026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46221</v>
      </c>
      <c r="F566" t="inlineStr">
        <is>
          <t>VÄSTRA GÖTALANDS LÄN</t>
        </is>
      </c>
      <c r="G566" t="inlineStr">
        <is>
          <t>BENGTSFORS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28667-2026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46221</v>
      </c>
      <c r="F567" t="inlineStr">
        <is>
          <t>VÄSTRA GÖTALANDS LÄN</t>
        </is>
      </c>
      <c r="G567" t="inlineStr">
        <is>
          <t>BENGTSFORS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4279-2025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45685</v>
      </c>
      <c r="E568" s="1" t="n">
        <v>46221</v>
      </c>
      <c r="F568" t="inlineStr">
        <is>
          <t>VÄSTRA GÖTALANDS LÄN</t>
        </is>
      </c>
      <c r="G568" t="inlineStr">
        <is>
          <t>BENGTSFORS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58996-2022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44903</v>
      </c>
      <c r="E569" s="1" t="n">
        <v>46221</v>
      </c>
      <c r="F569" t="inlineStr">
        <is>
          <t>VÄSTRA GÖTALANDS LÄN</t>
        </is>
      </c>
      <c r="G569" t="inlineStr">
        <is>
          <t>BENGTSFORS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9516-2024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45359</v>
      </c>
      <c r="E570" s="1" t="n">
        <v>46221</v>
      </c>
      <c r="F570" t="inlineStr">
        <is>
          <t>VÄSTRA GÖTALANDS LÄN</t>
        </is>
      </c>
      <c r="G570" t="inlineStr">
        <is>
          <t>BENGTSFORS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45503-2022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44845</v>
      </c>
      <c r="E571" s="1" t="n">
        <v>46221</v>
      </c>
      <c r="F571" t="inlineStr">
        <is>
          <t>VÄSTRA GÖTALANDS LÄN</t>
        </is>
      </c>
      <c r="G571" t="inlineStr">
        <is>
          <t>BENGTSFORS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60909-2023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45261</v>
      </c>
      <c r="E572" s="1" t="n">
        <v>46221</v>
      </c>
      <c r="F572" t="inlineStr">
        <is>
          <t>VÄSTRA GÖTALANDS LÄN</t>
        </is>
      </c>
      <c r="G572" t="inlineStr">
        <is>
          <t>BENGTSFORS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13655-2022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44648</v>
      </c>
      <c r="E573" s="1" t="n">
        <v>46221</v>
      </c>
      <c r="F573" t="inlineStr">
        <is>
          <t>VÄSTRA GÖTALANDS LÄN</t>
        </is>
      </c>
      <c r="G573" t="inlineStr">
        <is>
          <t>BENGTSFORS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49427-2022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44861</v>
      </c>
      <c r="E574" s="1" t="n">
        <v>46221</v>
      </c>
      <c r="F574" t="inlineStr">
        <is>
          <t>VÄSTRA GÖTALANDS LÄN</t>
        </is>
      </c>
      <c r="G574" t="inlineStr">
        <is>
          <t>BENGTSFORS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44087-2024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45572</v>
      </c>
      <c r="E575" s="1" t="n">
        <v>46221</v>
      </c>
      <c r="F575" t="inlineStr">
        <is>
          <t>VÄSTRA GÖTALANDS LÄN</t>
        </is>
      </c>
      <c r="G575" t="inlineStr">
        <is>
          <t>BENGTSFORS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52554-2022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44874</v>
      </c>
      <c r="E576" s="1" t="n">
        <v>46221</v>
      </c>
      <c r="F576" t="inlineStr">
        <is>
          <t>VÄSTRA GÖTALANDS LÄN</t>
        </is>
      </c>
      <c r="G576" t="inlineStr">
        <is>
          <t>BENGTSFORS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39948-2024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45553</v>
      </c>
      <c r="E577" s="1" t="n">
        <v>46221</v>
      </c>
      <c r="F577" t="inlineStr">
        <is>
          <t>VÄSTRA GÖTALANDS LÄN</t>
        </is>
      </c>
      <c r="G577" t="inlineStr">
        <is>
          <t>BENGTSFORS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12072-2023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44997</v>
      </c>
      <c r="E578" s="1" t="n">
        <v>46221</v>
      </c>
      <c r="F578" t="inlineStr">
        <is>
          <t>VÄSTRA GÖTALANDS LÄN</t>
        </is>
      </c>
      <c r="G578" t="inlineStr">
        <is>
          <t>BENGTSFORS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45613-2024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45579</v>
      </c>
      <c r="E579" s="1" t="n">
        <v>46221</v>
      </c>
      <c r="F579" t="inlineStr">
        <is>
          <t>VÄSTRA GÖTALANDS LÄN</t>
        </is>
      </c>
      <c r="G579" t="inlineStr">
        <is>
          <t>BENGTSFORS</t>
        </is>
      </c>
      <c r="I579" t="n">
        <v>7.9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19944-2025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45771</v>
      </c>
      <c r="E580" s="1" t="n">
        <v>46221</v>
      </c>
      <c r="F580" t="inlineStr">
        <is>
          <t>VÄSTRA GÖTALANDS LÄN</t>
        </is>
      </c>
      <c r="G580" t="inlineStr">
        <is>
          <t>BENGTSFORS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20428-2025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45775</v>
      </c>
      <c r="E581" s="1" t="n">
        <v>46221</v>
      </c>
      <c r="F581" t="inlineStr">
        <is>
          <t>VÄSTRA GÖTALANDS LÄN</t>
        </is>
      </c>
      <c r="G581" t="inlineStr">
        <is>
          <t>BENGTSFORS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26246-2023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45091</v>
      </c>
      <c r="E582" s="1" t="n">
        <v>46221</v>
      </c>
      <c r="F582" t="inlineStr">
        <is>
          <t>VÄSTRA GÖTALANDS LÄN</t>
        </is>
      </c>
      <c r="G582" t="inlineStr">
        <is>
          <t>BENGTSFORS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13185-2024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45386</v>
      </c>
      <c r="E583" s="1" t="n">
        <v>46221</v>
      </c>
      <c r="F583" t="inlineStr">
        <is>
          <t>VÄSTRA GÖTALANDS LÄN</t>
        </is>
      </c>
      <c r="G583" t="inlineStr">
        <is>
          <t>BENGTSFORS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58265-2022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44901</v>
      </c>
      <c r="E584" s="1" t="n">
        <v>46221</v>
      </c>
      <c r="F584" t="inlineStr">
        <is>
          <t>VÄSTRA GÖTALANDS LÄN</t>
        </is>
      </c>
      <c r="G584" t="inlineStr">
        <is>
          <t>BENGTSFORS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7491-2026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46059</v>
      </c>
      <c r="E585" s="1" t="n">
        <v>46221</v>
      </c>
      <c r="F585" t="inlineStr">
        <is>
          <t>VÄSTRA GÖTALANDS LÄN</t>
        </is>
      </c>
      <c r="G585" t="inlineStr">
        <is>
          <t>BENGTSFORS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51550-2024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45604</v>
      </c>
      <c r="E586" s="1" t="n">
        <v>46221</v>
      </c>
      <c r="F586" t="inlineStr">
        <is>
          <t>VÄSTRA GÖTALANDS LÄN</t>
        </is>
      </c>
      <c r="G586" t="inlineStr">
        <is>
          <t>BENGTSFORS</t>
        </is>
      </c>
      <c r="I586" t="n">
        <v>15.7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23119-2026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46161</v>
      </c>
      <c r="E587" s="1" t="n">
        <v>46221</v>
      </c>
      <c r="F587" t="inlineStr">
        <is>
          <t>VÄSTRA GÖTALANDS LÄN</t>
        </is>
      </c>
      <c r="G587" t="inlineStr">
        <is>
          <t>BENGTSFORS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6205-2023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44964</v>
      </c>
      <c r="E588" s="1" t="n">
        <v>46221</v>
      </c>
      <c r="F588" t="inlineStr">
        <is>
          <t>VÄSTRA GÖTALANDS LÄN</t>
        </is>
      </c>
      <c r="G588" t="inlineStr">
        <is>
          <t>BENGTSFORS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55409-2022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44887</v>
      </c>
      <c r="E589" s="1" t="n">
        <v>46221</v>
      </c>
      <c r="F589" t="inlineStr">
        <is>
          <t>VÄSTRA GÖTALANDS LÄN</t>
        </is>
      </c>
      <c r="G589" t="inlineStr">
        <is>
          <t>BENGTSFORS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23052-2026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46161</v>
      </c>
      <c r="E590" s="1" t="n">
        <v>46221</v>
      </c>
      <c r="F590" t="inlineStr">
        <is>
          <t>VÄSTRA GÖTALANDS LÄN</t>
        </is>
      </c>
      <c r="G590" t="inlineStr">
        <is>
          <t>BENGTSFORS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60926-2022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44914</v>
      </c>
      <c r="E591" s="1" t="n">
        <v>46221</v>
      </c>
      <c r="F591" t="inlineStr">
        <is>
          <t>VÄSTRA GÖTALANDS LÄN</t>
        </is>
      </c>
      <c r="G591" t="inlineStr">
        <is>
          <t>BENGTSFORS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13830-2023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45007</v>
      </c>
      <c r="E592" s="1" t="n">
        <v>46221</v>
      </c>
      <c r="F592" t="inlineStr">
        <is>
          <t>VÄSTRA GÖTALANDS LÄN</t>
        </is>
      </c>
      <c r="G592" t="inlineStr">
        <is>
          <t>BENGTSFORS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13843-2023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45007</v>
      </c>
      <c r="E593" s="1" t="n">
        <v>46221</v>
      </c>
      <c r="F593" t="inlineStr">
        <is>
          <t>VÄSTRA GÖTALANDS LÄN</t>
        </is>
      </c>
      <c r="G593" t="inlineStr">
        <is>
          <t>BENGTSFORS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61125-2025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46000</v>
      </c>
      <c r="E594" s="1" t="n">
        <v>46221</v>
      </c>
      <c r="F594" t="inlineStr">
        <is>
          <t>VÄSTRA GÖTALANDS LÄN</t>
        </is>
      </c>
      <c r="G594" t="inlineStr">
        <is>
          <t>BENGTSFORS</t>
        </is>
      </c>
      <c r="I594" t="n">
        <v>10.6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48837-2023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45203</v>
      </c>
      <c r="E595" s="1" t="n">
        <v>46221</v>
      </c>
      <c r="F595" t="inlineStr">
        <is>
          <t>VÄSTRA GÖTALANDS LÄN</t>
        </is>
      </c>
      <c r="G595" t="inlineStr">
        <is>
          <t>BENGTSFORS</t>
        </is>
      </c>
      <c r="H595" t="inlineStr">
        <is>
          <t>Kyrkan</t>
        </is>
      </c>
      <c r="I595" t="n">
        <v>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4475-2023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44956</v>
      </c>
      <c r="E596" s="1" t="n">
        <v>46221</v>
      </c>
      <c r="F596" t="inlineStr">
        <is>
          <t>VÄSTRA GÖTALANDS LÄN</t>
        </is>
      </c>
      <c r="G596" t="inlineStr">
        <is>
          <t>BENGTSFORS</t>
        </is>
      </c>
      <c r="I596" t="n">
        <v>10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24054-2026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46221</v>
      </c>
      <c r="F597" t="inlineStr">
        <is>
          <t>VÄSTRA GÖTALANDS LÄN</t>
        </is>
      </c>
      <c r="G597" t="inlineStr">
        <is>
          <t>BENGTSFORS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24058-2026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46221</v>
      </c>
      <c r="F598" t="inlineStr">
        <is>
          <t>VÄSTRA GÖTALANDS LÄN</t>
        </is>
      </c>
      <c r="G598" t="inlineStr">
        <is>
          <t>BENGTSFORS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42471-2022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44831</v>
      </c>
      <c r="E599" s="1" t="n">
        <v>46221</v>
      </c>
      <c r="F599" t="inlineStr">
        <is>
          <t>VÄSTRA GÖTALANDS LÄN</t>
        </is>
      </c>
      <c r="G599" t="inlineStr">
        <is>
          <t>BENGTSFORS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11920-2024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45376</v>
      </c>
      <c r="E600" s="1" t="n">
        <v>46221</v>
      </c>
      <c r="F600" t="inlineStr">
        <is>
          <t>VÄSTRA GÖTALANDS LÄN</t>
        </is>
      </c>
      <c r="G600" t="inlineStr">
        <is>
          <t>BENGTSFORS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24173-2026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46168</v>
      </c>
      <c r="E601" s="1" t="n">
        <v>46221</v>
      </c>
      <c r="F601" t="inlineStr">
        <is>
          <t>VÄSTRA GÖTALANDS LÄN</t>
        </is>
      </c>
      <c r="G601" t="inlineStr">
        <is>
          <t>BENGTSFORS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23992-2026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46167</v>
      </c>
      <c r="E602" s="1" t="n">
        <v>46221</v>
      </c>
      <c r="F602" t="inlineStr">
        <is>
          <t>VÄSTRA GÖTALANDS LÄN</t>
        </is>
      </c>
      <c r="G602" t="inlineStr">
        <is>
          <t>BENGTSFORS</t>
        </is>
      </c>
      <c r="I602" t="n">
        <v>6.5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30432-2023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45111</v>
      </c>
      <c r="E603" s="1" t="n">
        <v>46221</v>
      </c>
      <c r="F603" t="inlineStr">
        <is>
          <t>VÄSTRA GÖTALANDS LÄN</t>
        </is>
      </c>
      <c r="G603" t="inlineStr">
        <is>
          <t>BENGTSFORS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24184-2026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46221</v>
      </c>
      <c r="F604" t="inlineStr">
        <is>
          <t>VÄSTRA GÖTALANDS LÄN</t>
        </is>
      </c>
      <c r="G604" t="inlineStr">
        <is>
          <t>BENGTSFORS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41213-2024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45559</v>
      </c>
      <c r="E605" s="1" t="n">
        <v>46221</v>
      </c>
      <c r="F605" t="inlineStr">
        <is>
          <t>VÄSTRA GÖTALANDS LÄN</t>
        </is>
      </c>
      <c r="G605" t="inlineStr">
        <is>
          <t>BENGTSFORS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9418-2025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45715</v>
      </c>
      <c r="E606" s="1" t="n">
        <v>46221</v>
      </c>
      <c r="F606" t="inlineStr">
        <is>
          <t>VÄSTRA GÖTALANDS LÄN</t>
        </is>
      </c>
      <c r="G606" t="inlineStr">
        <is>
          <t>BENGTSFORS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7431-2023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44971</v>
      </c>
      <c r="E607" s="1" t="n">
        <v>46221</v>
      </c>
      <c r="F607" t="inlineStr">
        <is>
          <t>VÄSTRA GÖTALANDS LÄN</t>
        </is>
      </c>
      <c r="G607" t="inlineStr">
        <is>
          <t>BENGTSFORS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8379-2023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44977</v>
      </c>
      <c r="E608" s="1" t="n">
        <v>46221</v>
      </c>
      <c r="F608" t="inlineStr">
        <is>
          <t>VÄSTRA GÖTALANDS LÄN</t>
        </is>
      </c>
      <c r="G608" t="inlineStr">
        <is>
          <t>BENGTSFORS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24210-2026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46168</v>
      </c>
      <c r="E609" s="1" t="n">
        <v>46221</v>
      </c>
      <c r="F609" t="inlineStr">
        <is>
          <t>VÄSTRA GÖTALANDS LÄN</t>
        </is>
      </c>
      <c r="G609" t="inlineStr">
        <is>
          <t>BENGTSFORS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24055-2026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46168</v>
      </c>
      <c r="E610" s="1" t="n">
        <v>46221</v>
      </c>
      <c r="F610" t="inlineStr">
        <is>
          <t>VÄSTRA GÖTALANDS LÄN</t>
        </is>
      </c>
      <c r="G610" t="inlineStr">
        <is>
          <t>BENGTSFORS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37889-2025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45881</v>
      </c>
      <c r="E611" s="1" t="n">
        <v>46221</v>
      </c>
      <c r="F611" t="inlineStr">
        <is>
          <t>VÄSTRA GÖTALANDS LÄN</t>
        </is>
      </c>
      <c r="G611" t="inlineStr">
        <is>
          <t>BENGTSFORS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24215-2026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46168</v>
      </c>
      <c r="E612" s="1" t="n">
        <v>46221</v>
      </c>
      <c r="F612" t="inlineStr">
        <is>
          <t>VÄSTRA GÖTALANDS LÄN</t>
        </is>
      </c>
      <c r="G612" t="inlineStr">
        <is>
          <t>BENGTSFORS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23980-2026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46167</v>
      </c>
      <c r="E613" s="1" t="n">
        <v>46221</v>
      </c>
      <c r="F613" t="inlineStr">
        <is>
          <t>VÄSTRA GÖTALANDS LÄN</t>
        </is>
      </c>
      <c r="G613" t="inlineStr">
        <is>
          <t>BENGTSFORS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61833-2024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45649</v>
      </c>
      <c r="E614" s="1" t="n">
        <v>46221</v>
      </c>
      <c r="F614" t="inlineStr">
        <is>
          <t>VÄSTRA GÖTALANDS LÄN</t>
        </is>
      </c>
      <c r="G614" t="inlineStr">
        <is>
          <t>BENGTSFORS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4942-2023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44958</v>
      </c>
      <c r="E615" s="1" t="n">
        <v>46221</v>
      </c>
      <c r="F615" t="inlineStr">
        <is>
          <t>VÄSTRA GÖTALANDS LÄN</t>
        </is>
      </c>
      <c r="G615" t="inlineStr">
        <is>
          <t>BENGTSFORS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24284-2026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46169</v>
      </c>
      <c r="E616" s="1" t="n">
        <v>46221</v>
      </c>
      <c r="F616" t="inlineStr">
        <is>
          <t>VÄSTRA GÖTALANDS LÄN</t>
        </is>
      </c>
      <c r="G616" t="inlineStr">
        <is>
          <t>BENGTSFORS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56967-2024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45628</v>
      </c>
      <c r="E617" s="1" t="n">
        <v>46221</v>
      </c>
      <c r="F617" t="inlineStr">
        <is>
          <t>VÄSTRA GÖTALANDS LÄN</t>
        </is>
      </c>
      <c r="G617" t="inlineStr">
        <is>
          <t>BENGTSFORS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16021-2024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45405</v>
      </c>
      <c r="E618" s="1" t="n">
        <v>46221</v>
      </c>
      <c r="F618" t="inlineStr">
        <is>
          <t>VÄSTRA GÖTALANDS LÄN</t>
        </is>
      </c>
      <c r="G618" t="inlineStr">
        <is>
          <t>BENGTSFORS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4480-2023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44956</v>
      </c>
      <c r="E619" s="1" t="n">
        <v>46221</v>
      </c>
      <c r="F619" t="inlineStr">
        <is>
          <t>VÄSTRA GÖTALANDS LÄN</t>
        </is>
      </c>
      <c r="G619" t="inlineStr">
        <is>
          <t>BENGTSFORS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62022-2024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45655</v>
      </c>
      <c r="E620" s="1" t="n">
        <v>46221</v>
      </c>
      <c r="F620" t="inlineStr">
        <is>
          <t>VÄSTRA GÖTALANDS LÄN</t>
        </is>
      </c>
      <c r="G620" t="inlineStr">
        <is>
          <t>BENGTSFORS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44264-2023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45181</v>
      </c>
      <c r="E621" s="1" t="n">
        <v>46221</v>
      </c>
      <c r="F621" t="inlineStr">
        <is>
          <t>VÄSTRA GÖTALANDS LÄN</t>
        </is>
      </c>
      <c r="G621" t="inlineStr">
        <is>
          <t>BENGTSFORS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50988-2024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45603</v>
      </c>
      <c r="E622" s="1" t="n">
        <v>46221</v>
      </c>
      <c r="F622" t="inlineStr">
        <is>
          <t>VÄSTRA GÖTALANDS LÄN</t>
        </is>
      </c>
      <c r="G622" t="inlineStr">
        <is>
          <t>BENGTSFORS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18290-2024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45422</v>
      </c>
      <c r="E623" s="1" t="n">
        <v>46221</v>
      </c>
      <c r="F623" t="inlineStr">
        <is>
          <t>VÄSTRA GÖTALANDS LÄN</t>
        </is>
      </c>
      <c r="G623" t="inlineStr">
        <is>
          <t>BENGTSFORS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12877-2024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45385</v>
      </c>
      <c r="E624" s="1" t="n">
        <v>46221</v>
      </c>
      <c r="F624" t="inlineStr">
        <is>
          <t>VÄSTRA GÖTALANDS LÄN</t>
        </is>
      </c>
      <c r="G624" t="inlineStr">
        <is>
          <t>BENGTSFORS</t>
        </is>
      </c>
      <c r="H624" t="inlineStr">
        <is>
          <t>Övriga Aktiebolag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60525-2024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45643</v>
      </c>
      <c r="E625" s="1" t="n">
        <v>46221</v>
      </c>
      <c r="F625" t="inlineStr">
        <is>
          <t>VÄSTRA GÖTALANDS LÄN</t>
        </is>
      </c>
      <c r="G625" t="inlineStr">
        <is>
          <t>BENGTSFORS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58158-2024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45632</v>
      </c>
      <c r="E626" s="1" t="n">
        <v>46221</v>
      </c>
      <c r="F626" t="inlineStr">
        <is>
          <t>VÄSTRA GÖTALANDS LÄN</t>
        </is>
      </c>
      <c r="G626" t="inlineStr">
        <is>
          <t>BENGTSFORS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2084-2025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46221</v>
      </c>
      <c r="F627" t="inlineStr">
        <is>
          <t>VÄSTRA GÖTALANDS LÄN</t>
        </is>
      </c>
      <c r="G627" t="inlineStr">
        <is>
          <t>BENGTSFORS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11721-2022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44634</v>
      </c>
      <c r="E628" s="1" t="n">
        <v>46221</v>
      </c>
      <c r="F628" t="inlineStr">
        <is>
          <t>VÄSTRA GÖTALANDS LÄN</t>
        </is>
      </c>
      <c r="G628" t="inlineStr">
        <is>
          <t>BENGTSFORS</t>
        </is>
      </c>
      <c r="I628" t="n">
        <v>12.8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555-2025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45664</v>
      </c>
      <c r="E629" s="1" t="n">
        <v>46221</v>
      </c>
      <c r="F629" t="inlineStr">
        <is>
          <t>VÄSTRA GÖTALANDS LÄN</t>
        </is>
      </c>
      <c r="G629" t="inlineStr">
        <is>
          <t>BENGTSFORS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2578-2024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45313</v>
      </c>
      <c r="E630" s="1" t="n">
        <v>46221</v>
      </c>
      <c r="F630" t="inlineStr">
        <is>
          <t>VÄSTRA GÖTALANDS LÄN</t>
        </is>
      </c>
      <c r="G630" t="inlineStr">
        <is>
          <t>BENGTSFORS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25177-2026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46175</v>
      </c>
      <c r="E631" s="1" t="n">
        <v>46221</v>
      </c>
      <c r="F631" t="inlineStr">
        <is>
          <t>VÄSTRA GÖTALANDS LÄN</t>
        </is>
      </c>
      <c r="G631" t="inlineStr">
        <is>
          <t>BENGTSFORS</t>
        </is>
      </c>
      <c r="I631" t="n">
        <v>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52226-2023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45217</v>
      </c>
      <c r="E632" s="1" t="n">
        <v>46221</v>
      </c>
      <c r="F632" t="inlineStr">
        <is>
          <t>VÄSTRA GÖTALANDS LÄN</t>
        </is>
      </c>
      <c r="G632" t="inlineStr">
        <is>
          <t>BENGTSFORS</t>
        </is>
      </c>
      <c r="H632" t="inlineStr">
        <is>
          <t>Kyrkan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1190-2023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44935</v>
      </c>
      <c r="E633" s="1" t="n">
        <v>46221</v>
      </c>
      <c r="F633" t="inlineStr">
        <is>
          <t>VÄSTRA GÖTALANDS LÄN</t>
        </is>
      </c>
      <c r="G633" t="inlineStr">
        <is>
          <t>BENGTSFORS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24942-2026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46174</v>
      </c>
      <c r="E634" s="1" t="n">
        <v>46221</v>
      </c>
      <c r="F634" t="inlineStr">
        <is>
          <t>VÄSTRA GÖTALANDS LÄN</t>
        </is>
      </c>
      <c r="G634" t="inlineStr">
        <is>
          <t>BENGTSFORS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19937-2025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45771</v>
      </c>
      <c r="E635" s="1" t="n">
        <v>46221</v>
      </c>
      <c r="F635" t="inlineStr">
        <is>
          <t>VÄSTRA GÖTALANDS LÄN</t>
        </is>
      </c>
      <c r="G635" t="inlineStr">
        <is>
          <t>BENGTSFORS</t>
        </is>
      </c>
      <c r="I635" t="n">
        <v>9.199999999999999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28653-2026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46198</v>
      </c>
      <c r="E636" s="1" t="n">
        <v>46221</v>
      </c>
      <c r="F636" t="inlineStr">
        <is>
          <t>VÄSTRA GÖTALANDS LÄN</t>
        </is>
      </c>
      <c r="G636" t="inlineStr">
        <is>
          <t>BENGTSFORS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47195-2023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45202</v>
      </c>
      <c r="E637" s="1" t="n">
        <v>46221</v>
      </c>
      <c r="F637" t="inlineStr">
        <is>
          <t>VÄSTRA GÖTALANDS LÄN</t>
        </is>
      </c>
      <c r="G637" t="inlineStr">
        <is>
          <t>BENGTSFORS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25521-2026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46177</v>
      </c>
      <c r="E638" s="1" t="n">
        <v>46221</v>
      </c>
      <c r="F638" t="inlineStr">
        <is>
          <t>VÄSTRA GÖTALANDS LÄN</t>
        </is>
      </c>
      <c r="G638" t="inlineStr">
        <is>
          <t>BENGTSFORS</t>
        </is>
      </c>
      <c r="H638" t="inlineStr">
        <is>
          <t>Kyrkan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23407-2023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45076</v>
      </c>
      <c r="E639" s="1" t="n">
        <v>46221</v>
      </c>
      <c r="F639" t="inlineStr">
        <is>
          <t>VÄSTRA GÖTALANDS LÄN</t>
        </is>
      </c>
      <c r="G639" t="inlineStr">
        <is>
          <t>BENGTSFORS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9698-2023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44984</v>
      </c>
      <c r="E640" s="1" t="n">
        <v>46221</v>
      </c>
      <c r="F640" t="inlineStr">
        <is>
          <t>VÄSTRA GÖTALANDS LÄN</t>
        </is>
      </c>
      <c r="G640" t="inlineStr">
        <is>
          <t>BENGTSFORS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56381-2023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45243</v>
      </c>
      <c r="E641" s="1" t="n">
        <v>46221</v>
      </c>
      <c r="F641" t="inlineStr">
        <is>
          <t>VÄSTRA GÖTALANDS LÄN</t>
        </is>
      </c>
      <c r="G641" t="inlineStr">
        <is>
          <t>BENGTSFORS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25955-2023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45090</v>
      </c>
      <c r="E642" s="1" t="n">
        <v>46221</v>
      </c>
      <c r="F642" t="inlineStr">
        <is>
          <t>VÄSTRA GÖTALANDS LÄN</t>
        </is>
      </c>
      <c r="G642" t="inlineStr">
        <is>
          <t>BENGTSFORS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11905-2024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45376</v>
      </c>
      <c r="E643" s="1" t="n">
        <v>46221</v>
      </c>
      <c r="F643" t="inlineStr">
        <is>
          <t>VÄSTRA GÖTALANDS LÄN</t>
        </is>
      </c>
      <c r="G643" t="inlineStr">
        <is>
          <t>BENGTSFORS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29309-2026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46197</v>
      </c>
      <c r="E644" s="1" t="n">
        <v>46221</v>
      </c>
      <c r="F644" t="inlineStr">
        <is>
          <t>VÄSTRA GÖTALANDS LÄN</t>
        </is>
      </c>
      <c r="G644" t="inlineStr">
        <is>
          <t>BENGTSFORS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20125-2023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45055</v>
      </c>
      <c r="E645" s="1" t="n">
        <v>46221</v>
      </c>
      <c r="F645" t="inlineStr">
        <is>
          <t>VÄSTRA GÖTALANDS LÄN</t>
        </is>
      </c>
      <c r="G645" t="inlineStr">
        <is>
          <t>BENGTSFORS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62190-2023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45267</v>
      </c>
      <c r="E646" s="1" t="n">
        <v>46221</v>
      </c>
      <c r="F646" t="inlineStr">
        <is>
          <t>VÄSTRA GÖTALANDS LÄN</t>
        </is>
      </c>
      <c r="G646" t="inlineStr">
        <is>
          <t>BENGTSFORS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1025-2023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44929</v>
      </c>
      <c r="E647" s="1" t="n">
        <v>46221</v>
      </c>
      <c r="F647" t="inlineStr">
        <is>
          <t>VÄSTRA GÖTALANDS LÄN</t>
        </is>
      </c>
      <c r="G647" t="inlineStr">
        <is>
          <t>BENGTSFORS</t>
        </is>
      </c>
      <c r="H647" t="inlineStr">
        <is>
          <t>Kyrkan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41360-2024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45559</v>
      </c>
      <c r="E648" s="1" t="n">
        <v>46221</v>
      </c>
      <c r="F648" t="inlineStr">
        <is>
          <t>VÄSTRA GÖTALANDS LÄN</t>
        </is>
      </c>
      <c r="G648" t="inlineStr">
        <is>
          <t>BENGTSFORS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21229-2023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45062</v>
      </c>
      <c r="E649" s="1" t="n">
        <v>46221</v>
      </c>
      <c r="F649" t="inlineStr">
        <is>
          <t>VÄSTRA GÖTALANDS LÄN</t>
        </is>
      </c>
      <c r="G649" t="inlineStr">
        <is>
          <t>BENGTSFORS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10335-2024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45365</v>
      </c>
      <c r="E650" s="1" t="n">
        <v>46221</v>
      </c>
      <c r="F650" t="inlineStr">
        <is>
          <t>VÄSTRA GÖTALANDS LÄN</t>
        </is>
      </c>
      <c r="G650" t="inlineStr">
        <is>
          <t>BENGTSFORS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60522-2024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45643</v>
      </c>
      <c r="E651" s="1" t="n">
        <v>46221</v>
      </c>
      <c r="F651" t="inlineStr">
        <is>
          <t>VÄSTRA GÖTALANDS LÄN</t>
        </is>
      </c>
      <c r="G651" t="inlineStr">
        <is>
          <t>BENGTSFORS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13970-2023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45008</v>
      </c>
      <c r="E652" s="1" t="n">
        <v>46221</v>
      </c>
      <c r="F652" t="inlineStr">
        <is>
          <t>VÄSTRA GÖTALANDS LÄN</t>
        </is>
      </c>
      <c r="G652" t="inlineStr">
        <is>
          <t>BENGTSFORS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60984-2024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45645</v>
      </c>
      <c r="E653" s="1" t="n">
        <v>46221</v>
      </c>
      <c r="F653" t="inlineStr">
        <is>
          <t>VÄSTRA GÖTALANDS LÄN</t>
        </is>
      </c>
      <c r="G653" t="inlineStr">
        <is>
          <t>BENGTSFORS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9154-2024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45358</v>
      </c>
      <c r="E654" s="1" t="n">
        <v>46221</v>
      </c>
      <c r="F654" t="inlineStr">
        <is>
          <t>VÄSTRA GÖTALANDS LÄN</t>
        </is>
      </c>
      <c r="G654" t="inlineStr">
        <is>
          <t>BENGTSFORS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61242-2024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45645</v>
      </c>
      <c r="E655" s="1" t="n">
        <v>46221</v>
      </c>
      <c r="F655" t="inlineStr">
        <is>
          <t>VÄSTRA GÖTALANDS LÄN</t>
        </is>
      </c>
      <c r="G655" t="inlineStr">
        <is>
          <t>BENGTSFORS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21982-2024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45443</v>
      </c>
      <c r="E656" s="1" t="n">
        <v>46221</v>
      </c>
      <c r="F656" t="inlineStr">
        <is>
          <t>VÄSTRA GÖTALANDS LÄN</t>
        </is>
      </c>
      <c r="G656" t="inlineStr">
        <is>
          <t>BENGTSFORS</t>
        </is>
      </c>
      <c r="H656" t="inlineStr">
        <is>
          <t>Kyrkan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59186-2023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45251</v>
      </c>
      <c r="E657" s="1" t="n">
        <v>46221</v>
      </c>
      <c r="F657" t="inlineStr">
        <is>
          <t>VÄSTRA GÖTALANDS LÄN</t>
        </is>
      </c>
      <c r="G657" t="inlineStr">
        <is>
          <t>BENGTSFORS</t>
        </is>
      </c>
      <c r="H657" t="inlineStr">
        <is>
          <t>Kyrkan</t>
        </is>
      </c>
      <c r="I657" t="n">
        <v>7.9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2563-2024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45313</v>
      </c>
      <c r="E658" s="1" t="n">
        <v>46221</v>
      </c>
      <c r="F658" t="inlineStr">
        <is>
          <t>VÄSTRA GÖTALANDS LÄN</t>
        </is>
      </c>
      <c r="G658" t="inlineStr">
        <is>
          <t>BENGTSFORS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21640-2025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45783</v>
      </c>
      <c r="E659" s="1" t="n">
        <v>46221</v>
      </c>
      <c r="F659" t="inlineStr">
        <is>
          <t>VÄSTRA GÖTALANDS LÄN</t>
        </is>
      </c>
      <c r="G659" t="inlineStr">
        <is>
          <t>BENGTSFORS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21641-2025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45783</v>
      </c>
      <c r="E660" s="1" t="n">
        <v>46221</v>
      </c>
      <c r="F660" t="inlineStr">
        <is>
          <t>VÄSTRA GÖTALANDS LÄN</t>
        </is>
      </c>
      <c r="G660" t="inlineStr">
        <is>
          <t>BENGTSFORS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21644-2025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46221</v>
      </c>
      <c r="F661" t="inlineStr">
        <is>
          <t>VÄSTRA GÖTALANDS LÄN</t>
        </is>
      </c>
      <c r="G661" t="inlineStr">
        <is>
          <t>BENGTSFORS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32189-2024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45511</v>
      </c>
      <c r="E662" s="1" t="n">
        <v>46221</v>
      </c>
      <c r="F662" t="inlineStr">
        <is>
          <t>VÄSTRA GÖTALANDS LÄN</t>
        </is>
      </c>
      <c r="G662" t="inlineStr">
        <is>
          <t>BENGTSFORS</t>
        </is>
      </c>
      <c r="H662" t="inlineStr">
        <is>
          <t>Kommuner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18665-2023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45043</v>
      </c>
      <c r="E663" s="1" t="n">
        <v>46221</v>
      </c>
      <c r="F663" t="inlineStr">
        <is>
          <t>VÄSTRA GÖTALANDS LÄN</t>
        </is>
      </c>
      <c r="G663" t="inlineStr">
        <is>
          <t>BENGTSFORS</t>
        </is>
      </c>
      <c r="I663" t="n">
        <v>21.7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23659-2025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45792</v>
      </c>
      <c r="E664" s="1" t="n">
        <v>46221</v>
      </c>
      <c r="F664" t="inlineStr">
        <is>
          <t>VÄSTRA GÖTALANDS LÄN</t>
        </is>
      </c>
      <c r="G664" t="inlineStr">
        <is>
          <t>BENGTSFORS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23546-2025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45792</v>
      </c>
      <c r="E665" s="1" t="n">
        <v>46221</v>
      </c>
      <c r="F665" t="inlineStr">
        <is>
          <t>VÄSTRA GÖTALANDS LÄN</t>
        </is>
      </c>
      <c r="G665" t="inlineStr">
        <is>
          <t>BENGTSFORS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23470-2025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45792</v>
      </c>
      <c r="E666" s="1" t="n">
        <v>46221</v>
      </c>
      <c r="F666" t="inlineStr">
        <is>
          <t>VÄSTRA GÖTALANDS LÄN</t>
        </is>
      </c>
      <c r="G666" t="inlineStr">
        <is>
          <t>BENGTSFORS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22548-2025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45788</v>
      </c>
      <c r="E667" s="1" t="n">
        <v>46221</v>
      </c>
      <c r="F667" t="inlineStr">
        <is>
          <t>VÄSTRA GÖTALANDS LÄN</t>
        </is>
      </c>
      <c r="G667" t="inlineStr">
        <is>
          <t>BENGTSFORS</t>
        </is>
      </c>
      <c r="I667" t="n">
        <v>5.1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9331-2025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45714</v>
      </c>
      <c r="E668" s="1" t="n">
        <v>46221</v>
      </c>
      <c r="F668" t="inlineStr">
        <is>
          <t>VÄSTRA GÖTALANDS LÄN</t>
        </is>
      </c>
      <c r="G668" t="inlineStr">
        <is>
          <t>BENGTSFORS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13732-2025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45737</v>
      </c>
      <c r="E669" s="1" t="n">
        <v>46221</v>
      </c>
      <c r="F669" t="inlineStr">
        <is>
          <t>VÄSTRA GÖTALANDS LÄN</t>
        </is>
      </c>
      <c r="G669" t="inlineStr">
        <is>
          <t>BENGTSFORS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46929-2023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45201</v>
      </c>
      <c r="E670" s="1" t="n">
        <v>46221</v>
      </c>
      <c r="F670" t="inlineStr">
        <is>
          <t>VÄSTRA GÖTALANDS LÄN</t>
        </is>
      </c>
      <c r="G670" t="inlineStr">
        <is>
          <t>BENGTSFORS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35188-2024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45530</v>
      </c>
      <c r="E671" s="1" t="n">
        <v>46221</v>
      </c>
      <c r="F671" t="inlineStr">
        <is>
          <t>VÄSTRA GÖTALANDS LÄN</t>
        </is>
      </c>
      <c r="G671" t="inlineStr">
        <is>
          <t>BENGTSFORS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3957-2025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45684</v>
      </c>
      <c r="E672" s="1" t="n">
        <v>46221</v>
      </c>
      <c r="F672" t="inlineStr">
        <is>
          <t>VÄSTRA GÖTALANDS LÄN</t>
        </is>
      </c>
      <c r="G672" t="inlineStr">
        <is>
          <t>BENGTSFORS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42396-2024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45565</v>
      </c>
      <c r="E673" s="1" t="n">
        <v>46221</v>
      </c>
      <c r="F673" t="inlineStr">
        <is>
          <t>VÄSTRA GÖTALANDS LÄN</t>
        </is>
      </c>
      <c r="G673" t="inlineStr">
        <is>
          <t>BENGTSFORS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9979-2024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45363</v>
      </c>
      <c r="E674" s="1" t="n">
        <v>46221</v>
      </c>
      <c r="F674" t="inlineStr">
        <is>
          <t>VÄSTRA GÖTALANDS LÄN</t>
        </is>
      </c>
      <c r="G674" t="inlineStr">
        <is>
          <t>BENGTSFORS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24520-2025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45798</v>
      </c>
      <c r="E675" s="1" t="n">
        <v>46221</v>
      </c>
      <c r="F675" t="inlineStr">
        <is>
          <t>VÄSTRA GÖTALANDS LÄN</t>
        </is>
      </c>
      <c r="G675" t="inlineStr">
        <is>
          <t>BENGTSFORS</t>
        </is>
      </c>
      <c r="H675" t="inlineStr">
        <is>
          <t>Kyrkan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35690-2024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45532</v>
      </c>
      <c r="E676" s="1" t="n">
        <v>46221</v>
      </c>
      <c r="F676" t="inlineStr">
        <is>
          <t>VÄSTRA GÖTALANDS LÄN</t>
        </is>
      </c>
      <c r="G676" t="inlineStr">
        <is>
          <t>BENGTSFORS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45309</v>
      </c>
      <c r="E677" s="1" t="n">
        <v>46221</v>
      </c>
      <c r="F677" t="inlineStr">
        <is>
          <t>VÄSTRA GÖTALANDS LÄN</t>
        </is>
      </c>
      <c r="G677" t="inlineStr">
        <is>
          <t>BENGTSFORS</t>
        </is>
      </c>
      <c r="I677" t="n">
        <v>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28460-2024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45477</v>
      </c>
      <c r="E678" s="1" t="n">
        <v>46221</v>
      </c>
      <c r="F678" t="inlineStr">
        <is>
          <t>VÄSTRA GÖTALANDS LÄN</t>
        </is>
      </c>
      <c r="G678" t="inlineStr">
        <is>
          <t>BENGTSFORS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45147-2024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45575</v>
      </c>
      <c r="E679" s="1" t="n">
        <v>46221</v>
      </c>
      <c r="F679" t="inlineStr">
        <is>
          <t>VÄSTRA GÖTALANDS LÄN</t>
        </is>
      </c>
      <c r="G679" t="inlineStr">
        <is>
          <t>BENGTSFORS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25088-2025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45800</v>
      </c>
      <c r="E680" s="1" t="n">
        <v>46221</v>
      </c>
      <c r="F680" t="inlineStr">
        <is>
          <t>VÄSTRA GÖTALANDS LÄN</t>
        </is>
      </c>
      <c r="G680" t="inlineStr">
        <is>
          <t>BENGTSFORS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1235-2022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44623</v>
      </c>
      <c r="E681" s="1" t="n">
        <v>46221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7776-2021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44481</v>
      </c>
      <c r="E682" s="1" t="n">
        <v>46221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81-2025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45671</v>
      </c>
      <c r="E683" s="1" t="n">
        <v>46221</v>
      </c>
      <c r="F683" t="inlineStr">
        <is>
          <t>VÄSTRA GÖTALANDS LÄN</t>
        </is>
      </c>
      <c r="G683" t="inlineStr">
        <is>
          <t>BENGTSFORS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598-2024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45351</v>
      </c>
      <c r="E684" s="1" t="n">
        <v>46221</v>
      </c>
      <c r="F684" t="inlineStr">
        <is>
          <t>VÄSTRA GÖTALANDS LÄN</t>
        </is>
      </c>
      <c r="G684" t="inlineStr">
        <is>
          <t>BENGTSFORS</t>
        </is>
      </c>
      <c r="I684" t="n">
        <v>31.6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7241-2021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44466</v>
      </c>
      <c r="E685" s="1" t="n">
        <v>46221</v>
      </c>
      <c r="F685" t="inlineStr">
        <is>
          <t>VÄSTRA GÖTALANDS LÄN</t>
        </is>
      </c>
      <c r="G685" t="inlineStr">
        <is>
          <t>BENGTSFORS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3728-2022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44741</v>
      </c>
      <c r="E686" s="1" t="n">
        <v>46221</v>
      </c>
      <c r="F686" t="inlineStr">
        <is>
          <t>VÄSTRA GÖTALANDS LÄN</t>
        </is>
      </c>
      <c r="G686" t="inlineStr">
        <is>
          <t>BENGTSFORS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4447-2023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45271</v>
      </c>
      <c r="E687" s="1" t="n">
        <v>46221</v>
      </c>
      <c r="F687" t="inlineStr">
        <is>
          <t>VÄSTRA GÖTALANDS LÄN</t>
        </is>
      </c>
      <c r="G687" t="inlineStr">
        <is>
          <t>BENGTSFORS</t>
        </is>
      </c>
      <c r="I687" t="n">
        <v>11.3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7157-2022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44914</v>
      </c>
      <c r="E688" s="1" t="n">
        <v>46221</v>
      </c>
      <c r="F688" t="inlineStr">
        <is>
          <t>VÄSTRA GÖTALANDS LÄN</t>
        </is>
      </c>
      <c r="G688" t="inlineStr">
        <is>
          <t>BENGTSFORS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83-2025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45671</v>
      </c>
      <c r="E689" s="1" t="n">
        <v>46221</v>
      </c>
      <c r="F689" t="inlineStr">
        <is>
          <t>VÄSTRA GÖTALANDS LÄN</t>
        </is>
      </c>
      <c r="G689" t="inlineStr">
        <is>
          <t>BENGTSFORS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723-2025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45721</v>
      </c>
      <c r="E690" s="1" t="n">
        <v>46221</v>
      </c>
      <c r="F690" t="inlineStr">
        <is>
          <t>VÄSTRA GÖTALANDS LÄN</t>
        </is>
      </c>
      <c r="G690" t="inlineStr">
        <is>
          <t>BENGTSFORS</t>
        </is>
      </c>
      <c r="H690" t="inlineStr">
        <is>
          <t>Kommuner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7780-2021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44481</v>
      </c>
      <c r="E691" s="1" t="n">
        <v>46221</v>
      </c>
      <c r="F691" t="inlineStr">
        <is>
          <t>VÄSTRA GÖTALANDS LÄN</t>
        </is>
      </c>
      <c r="G691" t="inlineStr">
        <is>
          <t>BENGTSFORS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2612-2025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45917</v>
      </c>
      <c r="E692" s="1" t="n">
        <v>46221</v>
      </c>
      <c r="F692" t="inlineStr">
        <is>
          <t>VÄSTRA GÖTALANDS LÄN</t>
        </is>
      </c>
      <c r="G692" t="inlineStr">
        <is>
          <t>BENGTSFORS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3077-2025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45964</v>
      </c>
      <c r="E693" s="1" t="n">
        <v>46221</v>
      </c>
      <c r="F693" t="inlineStr">
        <is>
          <t>VÄSTRA GÖTALANDS LÄN</t>
        </is>
      </c>
      <c r="G693" t="inlineStr">
        <is>
          <t>BENGTSFORS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>
      <c r="A694" t="inlineStr">
        <is>
          <t>S 1696-2026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46184</v>
      </c>
      <c r="E694" s="1" t="n">
        <v>46221</v>
      </c>
      <c r="F694" t="inlineStr">
        <is>
          <t>VÄSTRA GÖTALANDS LÄN</t>
        </is>
      </c>
      <c r="G694" t="inlineStr">
        <is>
          <t>BENGTSFORS</t>
        </is>
      </c>
      <c r="I694" t="n">
        <v>26.5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2026-07-18T01:20:55Z</dcterms:created>
  <dcterms:modified xmlns:dcterms="http://purl.org/dc/terms/" xmlns:xsi="http://www.w3.org/2001/XMLSchema-instance" xsi:type="dcterms:W3CDTF">2026-07-18T01:20:56Z</dcterms:modified>
</cp:coreProperties>
</file>