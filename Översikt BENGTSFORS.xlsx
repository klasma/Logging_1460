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45475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45475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45475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45475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45475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45475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45475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45475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45475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45475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45475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45475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45475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45475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45475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45475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45475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45475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45475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45475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45475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45475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45475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45475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45475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45475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45475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45475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41328-2020</t>
        </is>
      </c>
      <c r="B30" s="1" t="n">
        <v>44071</v>
      </c>
      <c r="C30" s="1" t="n">
        <v>45475</v>
      </c>
      <c r="D30" t="inlineStr">
        <is>
          <t>VÄSTRA GÖTALANDS LÄN</t>
        </is>
      </c>
      <c r="E30" t="inlineStr">
        <is>
          <t>BENGTSFORS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41328-2020 artfynd.xlsx", "A 41328-2020")</f>
        <v/>
      </c>
      <c r="T30">
        <f>HYPERLINK("https://klasma.github.io/Logging_1460/kartor/A 41328-2020 karta.png", "A 41328-2020")</f>
        <v/>
      </c>
      <c r="V30">
        <f>HYPERLINK("https://klasma.github.io/Logging_1460/klagomål/A 41328-2020 FSC-klagomål.docx", "A 41328-2020")</f>
        <v/>
      </c>
      <c r="W30">
        <f>HYPERLINK("https://klasma.github.io/Logging_1460/klagomålsmail/A 41328-2020 FSC-klagomål mail.docx", "A 41328-2020")</f>
        <v/>
      </c>
      <c r="X30">
        <f>HYPERLINK("https://klasma.github.io/Logging_1460/tillsyn/A 41328-2020 tillsynsbegäran.docx", "A 41328-2020")</f>
        <v/>
      </c>
      <c r="Y30">
        <f>HYPERLINK("https://klasma.github.io/Logging_1460/tillsynsmail/A 41328-2020 tillsynsbegäran mail.docx", "A 41328-2020")</f>
        <v/>
      </c>
      <c r="Z30">
        <f>HYPERLINK("https://klasma.github.io/Logging_1460/fåglar/A 41328-2020 prioriterade fågelarter.docx", "A 41328-2020")</f>
        <v/>
      </c>
    </row>
    <row r="31" ht="15" customHeight="1">
      <c r="A31" t="inlineStr">
        <is>
          <t>A 9043-2021</t>
        </is>
      </c>
      <c r="B31" s="1" t="n">
        <v>44249</v>
      </c>
      <c r="C31" s="1" t="n">
        <v>45475</v>
      </c>
      <c r="D31" t="inlineStr">
        <is>
          <t>VÄSTRA GÖTALANDS LÄN</t>
        </is>
      </c>
      <c r="E31" t="inlineStr">
        <is>
          <t>BENGTSFORS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HYPERLINK("https://klasma.github.io/Logging_1460/artfynd/A 9043-2021 artfynd.xlsx", "A 9043-2021")</f>
        <v/>
      </c>
      <c r="T31">
        <f>HYPERLINK("https://klasma.github.io/Logging_1460/kartor/A 9043-2021 karta.png", "A 9043-2021")</f>
        <v/>
      </c>
      <c r="V31">
        <f>HYPERLINK("https://klasma.github.io/Logging_1460/klagomål/A 9043-2021 FSC-klagomål.docx", "A 9043-2021")</f>
        <v/>
      </c>
      <c r="W31">
        <f>HYPERLINK("https://klasma.github.io/Logging_1460/klagomålsmail/A 9043-2021 FSC-klagomål mail.docx", "A 9043-2021")</f>
        <v/>
      </c>
      <c r="X31">
        <f>HYPERLINK("https://klasma.github.io/Logging_1460/tillsyn/A 9043-2021 tillsynsbegäran.docx", "A 9043-2021")</f>
        <v/>
      </c>
      <c r="Y31">
        <f>HYPERLINK("https://klasma.github.io/Logging_1460/tillsynsmail/A 9043-2021 tillsynsbegäran mail.docx", "A 9043-2021")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45475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45475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47082-2021</t>
        </is>
      </c>
      <c r="B34" s="1" t="n">
        <v>44446</v>
      </c>
      <c r="C34" s="1" t="n">
        <v>45475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47082-2021 artfynd.xlsx", "A 47082-2021")</f>
        <v/>
      </c>
      <c r="T34">
        <f>HYPERLINK("https://klasma.github.io/Logging_1460/kartor/A 47082-2021 karta.png", "A 47082-2021")</f>
        <v/>
      </c>
      <c r="V34">
        <f>HYPERLINK("https://klasma.github.io/Logging_1460/klagomål/A 47082-2021 FSC-klagomål.docx", "A 47082-2021")</f>
        <v/>
      </c>
      <c r="W34">
        <f>HYPERLINK("https://klasma.github.io/Logging_1460/klagomålsmail/A 47082-2021 FSC-klagomål mail.docx", "A 47082-2021")</f>
        <v/>
      </c>
      <c r="X34">
        <f>HYPERLINK("https://klasma.github.io/Logging_1460/tillsyn/A 47082-2021 tillsynsbegäran.docx", "A 47082-2021")</f>
        <v/>
      </c>
      <c r="Y34">
        <f>HYPERLINK("https://klasma.github.io/Logging_1460/tillsynsmail/A 47082-2021 tillsynsbegäran mail.docx", "A 47082-2021")</f>
        <v/>
      </c>
    </row>
    <row r="35" ht="15" customHeight="1">
      <c r="A35" t="inlineStr">
        <is>
          <t>A 47084-2021</t>
        </is>
      </c>
      <c r="B35" s="1" t="n">
        <v>44446</v>
      </c>
      <c r="C35" s="1" t="n">
        <v>45475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45475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26867-2022</t>
        </is>
      </c>
      <c r="B37" s="1" t="n">
        <v>44740</v>
      </c>
      <c r="C37" s="1" t="n">
        <v>45475</v>
      </c>
      <c r="D37" t="inlineStr">
        <is>
          <t>VÄSTRA GÖTALANDS LÄN</t>
        </is>
      </c>
      <c r="E37" t="inlineStr">
        <is>
          <t>BENGTSFORS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HYPERLINK("https://klasma.github.io/Logging_1460/artfynd/A 26867-2022 artfynd.xlsx", "A 26867-2022")</f>
        <v/>
      </c>
      <c r="T37">
        <f>HYPERLINK("https://klasma.github.io/Logging_1460/kartor/A 26867-2022 karta.png", "A 26867-2022")</f>
        <v/>
      </c>
      <c r="V37">
        <f>HYPERLINK("https://klasma.github.io/Logging_1460/klagomål/A 26867-2022 FSC-klagomål.docx", "A 26867-2022")</f>
        <v/>
      </c>
      <c r="W37">
        <f>HYPERLINK("https://klasma.github.io/Logging_1460/klagomålsmail/A 26867-2022 FSC-klagomål mail.docx", "A 26867-2022")</f>
        <v/>
      </c>
      <c r="X37">
        <f>HYPERLINK("https://klasma.github.io/Logging_1460/tillsyn/A 26867-2022 tillsynsbegäran.docx", "A 26867-2022")</f>
        <v/>
      </c>
      <c r="Y37">
        <f>HYPERLINK("https://klasma.github.io/Logging_1460/tillsynsmail/A 26867-2022 tillsynsbegäran mail.docx", "A 26867-2022")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45475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29204-2022</t>
        </is>
      </c>
      <c r="B39" s="1" t="n">
        <v>44750</v>
      </c>
      <c r="C39" s="1" t="n">
        <v>45475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54032-2022</t>
        </is>
      </c>
      <c r="B40" s="1" t="n">
        <v>44881</v>
      </c>
      <c r="C40" s="1" t="n">
        <v>45475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HYPERLINK("https://klasma.github.io/Logging_1460/artfynd/A 54032-2022 artfynd.xlsx", "A 54032-2022")</f>
        <v/>
      </c>
      <c r="T40">
        <f>HYPERLINK("https://klasma.github.io/Logging_1460/kartor/A 54032-2022 karta.png", "A 54032-2022")</f>
        <v/>
      </c>
      <c r="V40">
        <f>HYPERLINK("https://klasma.github.io/Logging_1460/klagomål/A 54032-2022 FSC-klagomål.docx", "A 54032-2022")</f>
        <v/>
      </c>
      <c r="W40">
        <f>HYPERLINK("https://klasma.github.io/Logging_1460/klagomålsmail/A 54032-2022 FSC-klagomål mail.docx", "A 54032-2022")</f>
        <v/>
      </c>
      <c r="X40">
        <f>HYPERLINK("https://klasma.github.io/Logging_1460/tillsyn/A 54032-2022 tillsynsbegäran.docx", "A 54032-2022")</f>
        <v/>
      </c>
      <c r="Y40">
        <f>HYPERLINK("https://klasma.github.io/Logging_1460/tillsynsmail/A 54032-2022 tillsynsbegäran mail.docx", "A 54032-2022")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45475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45475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46409-2023</t>
        </is>
      </c>
      <c r="B43" s="1" t="n">
        <v>45197</v>
      </c>
      <c r="C43" s="1" t="n">
        <v>45475</v>
      </c>
      <c r="D43" t="inlineStr">
        <is>
          <t>VÄSTRA GÖTALANDS LÄN</t>
        </is>
      </c>
      <c r="E43" t="inlineStr">
        <is>
          <t>BENGTSFORS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HYPERLINK("https://klasma.github.io/Logging_1460/artfynd/A 46409-2023 artfynd.xlsx", "A 46409-2023")</f>
        <v/>
      </c>
      <c r="T43">
        <f>HYPERLINK("https://klasma.github.io/Logging_1460/kartor/A 46409-2023 karta.png", "A 46409-2023")</f>
        <v/>
      </c>
      <c r="V43">
        <f>HYPERLINK("https://klasma.github.io/Logging_1460/klagomål/A 46409-2023 FSC-klagomål.docx", "A 46409-2023")</f>
        <v/>
      </c>
      <c r="W43">
        <f>HYPERLINK("https://klasma.github.io/Logging_1460/klagomålsmail/A 46409-2023 FSC-klagomål mail.docx", "A 46409-2023")</f>
        <v/>
      </c>
      <c r="X43">
        <f>HYPERLINK("https://klasma.github.io/Logging_1460/tillsyn/A 46409-2023 tillsynsbegäran.docx", "A 46409-2023")</f>
        <v/>
      </c>
      <c r="Y43">
        <f>HYPERLINK("https://klasma.github.io/Logging_1460/tillsynsmail/A 46409-2023 tillsynsbegäran mail.docx", "A 46409-2023")</f>
        <v/>
      </c>
    </row>
    <row r="44" ht="15" customHeight="1">
      <c r="A44" t="inlineStr">
        <is>
          <t>A 49153-2023</t>
        </is>
      </c>
      <c r="B44" s="1" t="n">
        <v>45210</v>
      </c>
      <c r="C44" s="1" t="n">
        <v>45475</v>
      </c>
      <c r="D44" t="inlineStr">
        <is>
          <t>VÄSTRA GÖTALANDS LÄN</t>
        </is>
      </c>
      <c r="E44" t="inlineStr">
        <is>
          <t>BENGTSFORS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HYPERLINK("https://klasma.github.io/Logging_1460/artfynd/A 49153-2023 artfynd.xlsx", "A 49153-2023")</f>
        <v/>
      </c>
      <c r="T44">
        <f>HYPERLINK("https://klasma.github.io/Logging_1460/kartor/A 49153-2023 karta.png", "A 49153-2023")</f>
        <v/>
      </c>
      <c r="V44">
        <f>HYPERLINK("https://klasma.github.io/Logging_1460/klagomål/A 49153-2023 FSC-klagomål.docx", "A 49153-2023")</f>
        <v/>
      </c>
      <c r="W44">
        <f>HYPERLINK("https://klasma.github.io/Logging_1460/klagomålsmail/A 49153-2023 FSC-klagomål mail.docx", "A 49153-2023")</f>
        <v/>
      </c>
      <c r="X44">
        <f>HYPERLINK("https://klasma.github.io/Logging_1460/tillsyn/A 49153-2023 tillsynsbegäran.docx", "A 49153-2023")</f>
        <v/>
      </c>
      <c r="Y44">
        <f>HYPERLINK("https://klasma.github.io/Logging_1460/tillsynsmail/A 49153-2023 tillsynsbegäran mail.docx", "A 49153-2023")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45475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3412-2024</t>
        </is>
      </c>
      <c r="B46" s="1" t="n">
        <v>45319</v>
      </c>
      <c r="C46" s="1" t="n">
        <v>45475</v>
      </c>
      <c r="D46" t="inlineStr">
        <is>
          <t>VÄSTRA GÖTALANDS LÄN</t>
        </is>
      </c>
      <c r="E46" t="inlineStr">
        <is>
          <t>BENGTSFORS</t>
        </is>
      </c>
      <c r="G46" t="n">
        <v>4.3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HYPERLINK("https://klasma.github.io/Logging_1460/artfynd/A 3412-2024 artfynd.xlsx", "A 3412-2024")</f>
        <v/>
      </c>
      <c r="T46">
        <f>HYPERLINK("https://klasma.github.io/Logging_1460/kartor/A 3412-2024 karta.png", "A 3412-2024")</f>
        <v/>
      </c>
      <c r="V46">
        <f>HYPERLINK("https://klasma.github.io/Logging_1460/klagomål/A 3412-2024 FSC-klagomål.docx", "A 3412-2024")</f>
        <v/>
      </c>
      <c r="W46">
        <f>HYPERLINK("https://klasma.github.io/Logging_1460/klagomålsmail/A 3412-2024 FSC-klagomål mail.docx", "A 3412-2024")</f>
        <v/>
      </c>
      <c r="X46">
        <f>HYPERLINK("https://klasma.github.io/Logging_1460/tillsyn/A 3412-2024 tillsynsbegäran.docx", "A 3412-2024")</f>
        <v/>
      </c>
      <c r="Y46">
        <f>HYPERLINK("https://klasma.github.io/Logging_1460/tillsynsmail/A 3412-2024 tillsynsbegäran mail.docx", "A 3412-2024")</f>
        <v/>
      </c>
      <c r="Z46">
        <f>HYPERLINK("https://klasma.github.io/Logging_1460/fåglar/A 3412-2024 prioriterade fågelarter.docx", "A 3412-2024")</f>
        <v/>
      </c>
    </row>
    <row r="47" ht="15" customHeight="1">
      <c r="A47" t="inlineStr">
        <is>
          <t>A 5095-2024</t>
        </is>
      </c>
      <c r="B47" s="1" t="n">
        <v>45330</v>
      </c>
      <c r="C47" s="1" t="n">
        <v>45475</v>
      </c>
      <c r="D47" t="inlineStr">
        <is>
          <t>VÄSTRA GÖTALANDS LÄN</t>
        </is>
      </c>
      <c r="E47" t="inlineStr">
        <is>
          <t>BENGTSFORS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5095-2024 artfynd.xlsx", "A 5095-2024")</f>
        <v/>
      </c>
      <c r="T47">
        <f>HYPERLINK("https://klasma.github.io/Logging_1460/kartor/A 5095-2024 karta.png", "A 5095-2024")</f>
        <v/>
      </c>
      <c r="V47">
        <f>HYPERLINK("https://klasma.github.io/Logging_1460/klagomål/A 5095-2024 FSC-klagomål.docx", "A 5095-2024")</f>
        <v/>
      </c>
      <c r="W47">
        <f>HYPERLINK("https://klasma.github.io/Logging_1460/klagomålsmail/A 5095-2024 FSC-klagomål mail.docx", "A 5095-2024")</f>
        <v/>
      </c>
      <c r="X47">
        <f>HYPERLINK("https://klasma.github.io/Logging_1460/tillsyn/A 5095-2024 tillsynsbegäran.docx", "A 5095-2024")</f>
        <v/>
      </c>
      <c r="Y47">
        <f>HYPERLINK("https://klasma.github.io/Logging_1460/tillsynsmail/A 5095-2024 tillsynsbegäran mail.docx", "A 5095-2024")</f>
        <v/>
      </c>
    </row>
    <row r="48" ht="15" customHeight="1">
      <c r="A48" t="inlineStr">
        <is>
          <t>A 5971-2024</t>
        </is>
      </c>
      <c r="B48" s="1" t="n">
        <v>45336</v>
      </c>
      <c r="C48" s="1" t="n">
        <v>45475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45475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17772-2019</t>
        </is>
      </c>
      <c r="B50" s="1" t="n">
        <v>43556</v>
      </c>
      <c r="C50" s="1" t="n">
        <v>45475</v>
      </c>
      <c r="D50" t="inlineStr">
        <is>
          <t>VÄSTRA GÖTALANDS LÄN</t>
        </is>
      </c>
      <c r="E50" t="inlineStr">
        <is>
          <t>BENGTSFORS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18232-2019</t>
        </is>
      </c>
      <c r="B51" s="1" t="n">
        <v>43558</v>
      </c>
      <c r="C51" s="1" t="n">
        <v>45475</v>
      </c>
      <c r="D51" t="inlineStr">
        <is>
          <t>VÄSTRA GÖTALANDS LÄN</t>
        </is>
      </c>
      <c r="E51" t="inlineStr">
        <is>
          <t>BENGTSFORS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18678-2019</t>
        </is>
      </c>
      <c r="B52" s="1" t="n">
        <v>43560</v>
      </c>
      <c r="C52" s="1" t="n">
        <v>45475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19430-2019</t>
        </is>
      </c>
      <c r="B53" s="1" t="n">
        <v>43565</v>
      </c>
      <c r="C53" s="1" t="n">
        <v>45475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19394-2019</t>
        </is>
      </c>
      <c r="B54" s="1" t="n">
        <v>43565</v>
      </c>
      <c r="C54" s="1" t="n">
        <v>45475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19759-2019</t>
        </is>
      </c>
      <c r="B55" s="1" t="n">
        <v>43567</v>
      </c>
      <c r="C55" s="1" t="n">
        <v>45475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19865-2019</t>
        </is>
      </c>
      <c r="B56" s="1" t="n">
        <v>43567</v>
      </c>
      <c r="C56" s="1" t="n">
        <v>45475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20981-2019</t>
        </is>
      </c>
      <c r="B57" s="1" t="n">
        <v>43578</v>
      </c>
      <c r="C57" s="1" t="n">
        <v>45475</v>
      </c>
      <c r="D57" t="inlineStr">
        <is>
          <t>VÄSTRA GÖTALANDS LÄN</t>
        </is>
      </c>
      <c r="E57" t="inlineStr">
        <is>
          <t>BENGTSFORS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21306-2019</t>
        </is>
      </c>
      <c r="B58" s="1" t="n">
        <v>43579</v>
      </c>
      <c r="C58" s="1" t="n">
        <v>45475</v>
      </c>
      <c r="D58" t="inlineStr">
        <is>
          <t>VÄSTRA GÖTALANDS LÄN</t>
        </is>
      </c>
      <c r="E58" t="inlineStr">
        <is>
          <t>BENGTSFORS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21126-2019</t>
        </is>
      </c>
      <c r="B59" s="1" t="n">
        <v>43579</v>
      </c>
      <c r="C59" s="1" t="n">
        <v>45475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22550-2019</t>
        </is>
      </c>
      <c r="B60" s="1" t="n">
        <v>43587</v>
      </c>
      <c r="C60" s="1" t="n">
        <v>45475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23197-2019</t>
        </is>
      </c>
      <c r="B61" s="1" t="n">
        <v>43592</v>
      </c>
      <c r="C61" s="1" t="n">
        <v>45475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23452-2019</t>
        </is>
      </c>
      <c r="B62" s="1" t="n">
        <v>43593</v>
      </c>
      <c r="C62" s="1" t="n">
        <v>45475</v>
      </c>
      <c r="D62" t="inlineStr">
        <is>
          <t>VÄSTRA GÖTALANDS LÄN</t>
        </is>
      </c>
      <c r="E62" t="inlineStr">
        <is>
          <t>BENGTSFORS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24304-2019</t>
        </is>
      </c>
      <c r="B63" s="1" t="n">
        <v>43599</v>
      </c>
      <c r="C63" s="1" t="n">
        <v>45475</v>
      </c>
      <c r="D63" t="inlineStr">
        <is>
          <t>VÄSTRA GÖTALANDS LÄN</t>
        </is>
      </c>
      <c r="E63" t="inlineStr">
        <is>
          <t>BENGTSFORS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25595-2019</t>
        </is>
      </c>
      <c r="B64" s="1" t="n">
        <v>43601</v>
      </c>
      <c r="C64" s="1" t="n">
        <v>45475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26804-2019</t>
        </is>
      </c>
      <c r="B65" s="1" t="n">
        <v>43613</v>
      </c>
      <c r="C65" s="1" t="n">
        <v>45475</v>
      </c>
      <c r="D65" t="inlineStr">
        <is>
          <t>VÄSTRA GÖTALANDS LÄN</t>
        </is>
      </c>
      <c r="E65" t="inlineStr">
        <is>
          <t>BENGTSFORS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27019-2019</t>
        </is>
      </c>
      <c r="B66" s="1" t="n">
        <v>43613</v>
      </c>
      <c r="C66" s="1" t="n">
        <v>45475</v>
      </c>
      <c r="D66" t="inlineStr">
        <is>
          <t>VÄSTRA GÖTALANDS LÄN</t>
        </is>
      </c>
      <c r="E66" t="inlineStr">
        <is>
          <t>BENGTSFORS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27153-2019</t>
        </is>
      </c>
      <c r="B67" s="1" t="n">
        <v>43614</v>
      </c>
      <c r="C67" s="1" t="n">
        <v>45475</v>
      </c>
      <c r="D67" t="inlineStr">
        <is>
          <t>VÄSTRA GÖTALANDS LÄN</t>
        </is>
      </c>
      <c r="E67" t="inlineStr">
        <is>
          <t>BENGTSFORS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27465-2019</t>
        </is>
      </c>
      <c r="B68" s="1" t="n">
        <v>43618</v>
      </c>
      <c r="C68" s="1" t="n">
        <v>45475</v>
      </c>
      <c r="D68" t="inlineStr">
        <is>
          <t>VÄSTRA GÖTALANDS LÄN</t>
        </is>
      </c>
      <c r="E68" t="inlineStr">
        <is>
          <t>BENGTSFORS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27463-2019</t>
        </is>
      </c>
      <c r="B69" s="1" t="n">
        <v>43618</v>
      </c>
      <c r="C69" s="1" t="n">
        <v>45475</v>
      </c>
      <c r="D69" t="inlineStr">
        <is>
          <t>VÄSTRA GÖTALANDS LÄN</t>
        </is>
      </c>
      <c r="E69" t="inlineStr">
        <is>
          <t>BENGTSFORS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27484-2019</t>
        </is>
      </c>
      <c r="B70" s="1" t="n">
        <v>43619</v>
      </c>
      <c r="C70" s="1" t="n">
        <v>45475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28654-2019</t>
        </is>
      </c>
      <c r="B71" s="1" t="n">
        <v>43627</v>
      </c>
      <c r="C71" s="1" t="n">
        <v>45475</v>
      </c>
      <c r="D71" t="inlineStr">
        <is>
          <t>VÄSTRA GÖTALANDS LÄN</t>
        </is>
      </c>
      <c r="E71" t="inlineStr">
        <is>
          <t>BENGTSFORS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30098-2019</t>
        </is>
      </c>
      <c r="B72" s="1" t="n">
        <v>43633</v>
      </c>
      <c r="C72" s="1" t="n">
        <v>45475</v>
      </c>
      <c r="D72" t="inlineStr">
        <is>
          <t>VÄSTRA GÖTALANDS LÄN</t>
        </is>
      </c>
      <c r="E72" t="inlineStr">
        <is>
          <t>BENGTSFORS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29905-2019</t>
        </is>
      </c>
      <c r="B73" s="1" t="n">
        <v>43633</v>
      </c>
      <c r="C73" s="1" t="n">
        <v>45475</v>
      </c>
      <c r="D73" t="inlineStr">
        <is>
          <t>VÄSTRA GÖTALANDS LÄN</t>
        </is>
      </c>
      <c r="E73" t="inlineStr">
        <is>
          <t>BENGTSFORS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30538-2019</t>
        </is>
      </c>
      <c r="B74" s="1" t="n">
        <v>43635</v>
      </c>
      <c r="C74" s="1" t="n">
        <v>45475</v>
      </c>
      <c r="D74" t="inlineStr">
        <is>
          <t>VÄSTRA GÖTALANDS LÄN</t>
        </is>
      </c>
      <c r="E74" t="inlineStr">
        <is>
          <t>BENGTSFORS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30531-2019</t>
        </is>
      </c>
      <c r="B75" s="1" t="n">
        <v>43635</v>
      </c>
      <c r="C75" s="1" t="n">
        <v>45475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32534-2019</t>
        </is>
      </c>
      <c r="B76" s="1" t="n">
        <v>43646</v>
      </c>
      <c r="C76" s="1" t="n">
        <v>45475</v>
      </c>
      <c r="D76" t="inlineStr">
        <is>
          <t>VÄSTRA GÖTALANDS LÄN</t>
        </is>
      </c>
      <c r="E76" t="inlineStr">
        <is>
          <t>BENGTSFORS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32545-2019</t>
        </is>
      </c>
      <c r="B77" s="1" t="n">
        <v>43647</v>
      </c>
      <c r="C77" s="1" t="n">
        <v>45475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34716-2019</t>
        </is>
      </c>
      <c r="B78" s="1" t="n">
        <v>43648</v>
      </c>
      <c r="C78" s="1" t="n">
        <v>45475</v>
      </c>
      <c r="D78" t="inlineStr">
        <is>
          <t>VÄSTRA GÖTALANDS LÄN</t>
        </is>
      </c>
      <c r="E78" t="inlineStr">
        <is>
          <t>BENGTSFORS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35676-2019</t>
        </is>
      </c>
      <c r="B79" s="1" t="n">
        <v>43655</v>
      </c>
      <c r="C79" s="1" t="n">
        <v>45475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34878-2019</t>
        </is>
      </c>
      <c r="B80" s="1" t="n">
        <v>43658</v>
      </c>
      <c r="C80" s="1" t="n">
        <v>45475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36401-2019</t>
        </is>
      </c>
      <c r="B81" s="1" t="n">
        <v>43670</v>
      </c>
      <c r="C81" s="1" t="n">
        <v>45475</v>
      </c>
      <c r="D81" t="inlineStr">
        <is>
          <t>VÄSTRA GÖTALANDS LÄN</t>
        </is>
      </c>
      <c r="E81" t="inlineStr">
        <is>
          <t>BENGTSFORS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37035-2019</t>
        </is>
      </c>
      <c r="B82" s="1" t="n">
        <v>43676</v>
      </c>
      <c r="C82" s="1" t="n">
        <v>45475</v>
      </c>
      <c r="D82" t="inlineStr">
        <is>
          <t>VÄSTRA GÖTALANDS LÄN</t>
        </is>
      </c>
      <c r="E82" t="inlineStr">
        <is>
          <t>BENGTSFORS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37957-2019</t>
        </is>
      </c>
      <c r="B83" s="1" t="n">
        <v>43683</v>
      </c>
      <c r="C83" s="1" t="n">
        <v>45475</v>
      </c>
      <c r="D83" t="inlineStr">
        <is>
          <t>VÄSTRA GÖTALANDS LÄN</t>
        </is>
      </c>
      <c r="E83" t="inlineStr">
        <is>
          <t>BENGTSFORS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39289-2019</t>
        </is>
      </c>
      <c r="B84" s="1" t="n">
        <v>43690</v>
      </c>
      <c r="C84" s="1" t="n">
        <v>45475</v>
      </c>
      <c r="D84" t="inlineStr">
        <is>
          <t>VÄSTRA GÖTALANDS LÄN</t>
        </is>
      </c>
      <c r="E84" t="inlineStr">
        <is>
          <t>BENGTSFORS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39644-2019</t>
        </is>
      </c>
      <c r="B85" s="1" t="n">
        <v>43691</v>
      </c>
      <c r="C85" s="1" t="n">
        <v>45475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40043-2019</t>
        </is>
      </c>
      <c r="B86" s="1" t="n">
        <v>43693</v>
      </c>
      <c r="C86" s="1" t="n">
        <v>45475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40048-2019</t>
        </is>
      </c>
      <c r="B87" s="1" t="n">
        <v>43693</v>
      </c>
      <c r="C87" s="1" t="n">
        <v>45475</v>
      </c>
      <c r="D87" t="inlineStr">
        <is>
          <t>VÄSTRA GÖTALANDS LÄN</t>
        </is>
      </c>
      <c r="E87" t="inlineStr">
        <is>
          <t>BENGTSFORS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40243-2019</t>
        </is>
      </c>
      <c r="B88" s="1" t="n">
        <v>43694</v>
      </c>
      <c r="C88" s="1" t="n">
        <v>45475</v>
      </c>
      <c r="D88" t="inlineStr">
        <is>
          <t>VÄSTRA GÖTALANDS LÄN</t>
        </is>
      </c>
      <c r="E88" t="inlineStr">
        <is>
          <t>BENGTSFORS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40242-2019</t>
        </is>
      </c>
      <c r="B89" s="1" t="n">
        <v>43694</v>
      </c>
      <c r="C89" s="1" t="n">
        <v>45475</v>
      </c>
      <c r="D89" t="inlineStr">
        <is>
          <t>VÄSTRA GÖTALANDS LÄN</t>
        </is>
      </c>
      <c r="E89" t="inlineStr">
        <is>
          <t>BENGTSFORS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40654-2019</t>
        </is>
      </c>
      <c r="B90" s="1" t="n">
        <v>43696</v>
      </c>
      <c r="C90" s="1" t="n">
        <v>45475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40972-2019</t>
        </is>
      </c>
      <c r="B91" s="1" t="n">
        <v>43697</v>
      </c>
      <c r="C91" s="1" t="n">
        <v>45475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40974-2019</t>
        </is>
      </c>
      <c r="B92" s="1" t="n">
        <v>43697</v>
      </c>
      <c r="C92" s="1" t="n">
        <v>45475</v>
      </c>
      <c r="D92" t="inlineStr">
        <is>
          <t>VÄSTRA GÖTALANDS LÄN</t>
        </is>
      </c>
      <c r="E92" t="inlineStr">
        <is>
          <t>BENGTSFORS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41257-2019</t>
        </is>
      </c>
      <c r="B93" s="1" t="n">
        <v>43698</v>
      </c>
      <c r="C93" s="1" t="n">
        <v>45475</v>
      </c>
      <c r="D93" t="inlineStr">
        <is>
          <t>VÄSTRA GÖTALANDS LÄN</t>
        </is>
      </c>
      <c r="E93" t="inlineStr">
        <is>
          <t>BENGTSFORS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41256-2019</t>
        </is>
      </c>
      <c r="B94" s="1" t="n">
        <v>43698</v>
      </c>
      <c r="C94" s="1" t="n">
        <v>45475</v>
      </c>
      <c r="D94" t="inlineStr">
        <is>
          <t>VÄSTRA GÖTALANDS LÄN</t>
        </is>
      </c>
      <c r="E94" t="inlineStr">
        <is>
          <t>BENGTSFORS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41252-2019</t>
        </is>
      </c>
      <c r="B95" s="1" t="n">
        <v>43698</v>
      </c>
      <c r="C95" s="1" t="n">
        <v>45475</v>
      </c>
      <c r="D95" t="inlineStr">
        <is>
          <t>VÄSTRA GÖTALANDS LÄN</t>
        </is>
      </c>
      <c r="E95" t="inlineStr">
        <is>
          <t>BENGTSFORS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41255-2019</t>
        </is>
      </c>
      <c r="B96" s="1" t="n">
        <v>43698</v>
      </c>
      <c r="C96" s="1" t="n">
        <v>45475</v>
      </c>
      <c r="D96" t="inlineStr">
        <is>
          <t>VÄSTRA GÖTALANDS LÄN</t>
        </is>
      </c>
      <c r="E96" t="inlineStr">
        <is>
          <t>BENGTSFORS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41770-2019</t>
        </is>
      </c>
      <c r="B97" s="1" t="n">
        <v>43700</v>
      </c>
      <c r="C97" s="1" t="n">
        <v>45475</v>
      </c>
      <c r="D97" t="inlineStr">
        <is>
          <t>VÄSTRA GÖTALANDS LÄN</t>
        </is>
      </c>
      <c r="E97" t="inlineStr">
        <is>
          <t>BENGTSFORS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41607-2019</t>
        </is>
      </c>
      <c r="B98" s="1" t="n">
        <v>43699</v>
      </c>
      <c r="C98" s="1" t="n">
        <v>45475</v>
      </c>
      <c r="D98" t="inlineStr">
        <is>
          <t>VÄSTRA GÖTALANDS LÄN</t>
        </is>
      </c>
      <c r="E98" t="inlineStr">
        <is>
          <t>BENGTSFORS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42924-2019</t>
        </is>
      </c>
      <c r="B99" s="1" t="n">
        <v>43705</v>
      </c>
      <c r="C99" s="1" t="n">
        <v>45475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43633-2019</t>
        </is>
      </c>
      <c r="B100" s="1" t="n">
        <v>43707</v>
      </c>
      <c r="C100" s="1" t="n">
        <v>45475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45003-2019</t>
        </is>
      </c>
      <c r="B101" s="1" t="n">
        <v>43707</v>
      </c>
      <c r="C101" s="1" t="n">
        <v>45475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45008-2019</t>
        </is>
      </c>
      <c r="B102" s="1" t="n">
        <v>43707</v>
      </c>
      <c r="C102" s="1" t="n">
        <v>45475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43991-2019</t>
        </is>
      </c>
      <c r="B103" s="1" t="n">
        <v>43709</v>
      </c>
      <c r="C103" s="1" t="n">
        <v>45475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44223-2019</t>
        </is>
      </c>
      <c r="B104" s="1" t="n">
        <v>43710</v>
      </c>
      <c r="C104" s="1" t="n">
        <v>45475</v>
      </c>
      <c r="D104" t="inlineStr">
        <is>
          <t>VÄSTRA GÖTALANDS LÄN</t>
        </is>
      </c>
      <c r="E104" t="inlineStr">
        <is>
          <t>BENGTSFORS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45614-2019</t>
        </is>
      </c>
      <c r="B105" s="1" t="n">
        <v>43711</v>
      </c>
      <c r="C105" s="1" t="n">
        <v>45475</v>
      </c>
      <c r="D105" t="inlineStr">
        <is>
          <t>VÄSTRA GÖTALANDS LÄN</t>
        </is>
      </c>
      <c r="E105" t="inlineStr">
        <is>
          <t>BENGTSFORS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45958-2019</t>
        </is>
      </c>
      <c r="B106" s="1" t="n">
        <v>43712</v>
      </c>
      <c r="C106" s="1" t="n">
        <v>45475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45875-2019</t>
        </is>
      </c>
      <c r="B107" s="1" t="n">
        <v>43712</v>
      </c>
      <c r="C107" s="1" t="n">
        <v>45475</v>
      </c>
      <c r="D107" t="inlineStr">
        <is>
          <t>VÄSTRA GÖTALANDS LÄN</t>
        </is>
      </c>
      <c r="E107" t="inlineStr">
        <is>
          <t>BENGTSFORS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46049-2019</t>
        </is>
      </c>
      <c r="B108" s="1" t="n">
        <v>43713</v>
      </c>
      <c r="C108" s="1" t="n">
        <v>45475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45842-2019</t>
        </is>
      </c>
      <c r="B109" s="1" t="n">
        <v>43717</v>
      </c>
      <c r="C109" s="1" t="n">
        <v>45475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47728-2019</t>
        </is>
      </c>
      <c r="B110" s="1" t="n">
        <v>43724</v>
      </c>
      <c r="C110" s="1" t="n">
        <v>45475</v>
      </c>
      <c r="D110" t="inlineStr">
        <is>
          <t>VÄSTRA GÖTALANDS LÄN</t>
        </is>
      </c>
      <c r="E110" t="inlineStr">
        <is>
          <t>BENGTSFORS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47845-2019</t>
        </is>
      </c>
      <c r="B111" s="1" t="n">
        <v>43725</v>
      </c>
      <c r="C111" s="1" t="n">
        <v>45475</v>
      </c>
      <c r="D111" t="inlineStr">
        <is>
          <t>VÄSTRA GÖTALANDS LÄN</t>
        </is>
      </c>
      <c r="E111" t="inlineStr">
        <is>
          <t>BENGTSFORS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49068-2019</t>
        </is>
      </c>
      <c r="B112" s="1" t="n">
        <v>43731</v>
      </c>
      <c r="C112" s="1" t="n">
        <v>45475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50365-2019</t>
        </is>
      </c>
      <c r="B113" s="1" t="n">
        <v>43735</v>
      </c>
      <c r="C113" s="1" t="n">
        <v>45475</v>
      </c>
      <c r="D113" t="inlineStr">
        <is>
          <t>VÄSTRA GÖTALANDS LÄN</t>
        </is>
      </c>
      <c r="E113" t="inlineStr">
        <is>
          <t>BENGTSFORS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50741-2019</t>
        </is>
      </c>
      <c r="B114" s="1" t="n">
        <v>43738</v>
      </c>
      <c r="C114" s="1" t="n">
        <v>45475</v>
      </c>
      <c r="D114" t="inlineStr">
        <is>
          <t>VÄSTRA GÖTALANDS LÄN</t>
        </is>
      </c>
      <c r="E114" t="inlineStr">
        <is>
          <t>BENGTSFORS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51148-2019</t>
        </is>
      </c>
      <c r="B115" s="1" t="n">
        <v>43739</v>
      </c>
      <c r="C115" s="1" t="n">
        <v>45475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52112-2019</t>
        </is>
      </c>
      <c r="B116" s="1" t="n">
        <v>43742</v>
      </c>
      <c r="C116" s="1" t="n">
        <v>45475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56944-2019</t>
        </is>
      </c>
      <c r="B117" s="1" t="n">
        <v>43766</v>
      </c>
      <c r="C117" s="1" t="n">
        <v>45475</v>
      </c>
      <c r="D117" t="inlineStr">
        <is>
          <t>VÄSTRA GÖTALANDS LÄN</t>
        </is>
      </c>
      <c r="E117" t="inlineStr">
        <is>
          <t>BENGTSFORS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56997-2019</t>
        </is>
      </c>
      <c r="B118" s="1" t="n">
        <v>43766</v>
      </c>
      <c r="C118" s="1" t="n">
        <v>45475</v>
      </c>
      <c r="D118" t="inlineStr">
        <is>
          <t>VÄSTRA GÖTALANDS LÄN</t>
        </is>
      </c>
      <c r="E118" t="inlineStr">
        <is>
          <t>BENGTSFORS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57094-2019</t>
        </is>
      </c>
      <c r="B119" s="1" t="n">
        <v>43766</v>
      </c>
      <c r="C119" s="1" t="n">
        <v>45475</v>
      </c>
      <c r="D119" t="inlineStr">
        <is>
          <t>VÄSTRA GÖTALANDS LÄN</t>
        </is>
      </c>
      <c r="E119" t="inlineStr">
        <is>
          <t>BENGTSFORS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57436-2019</t>
        </is>
      </c>
      <c r="B120" s="1" t="n">
        <v>43767</v>
      </c>
      <c r="C120" s="1" t="n">
        <v>45475</v>
      </c>
      <c r="D120" t="inlineStr">
        <is>
          <t>VÄSTRA GÖTALANDS LÄN</t>
        </is>
      </c>
      <c r="E120" t="inlineStr">
        <is>
          <t>BENGTSFORS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57907-2019</t>
        </is>
      </c>
      <c r="B121" s="1" t="n">
        <v>43769</v>
      </c>
      <c r="C121" s="1" t="n">
        <v>45475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58142-2019</t>
        </is>
      </c>
      <c r="B122" s="1" t="n">
        <v>43769</v>
      </c>
      <c r="C122" s="1" t="n">
        <v>45475</v>
      </c>
      <c r="D122" t="inlineStr">
        <is>
          <t>VÄSTRA GÖTALANDS LÄN</t>
        </is>
      </c>
      <c r="E122" t="inlineStr">
        <is>
          <t>BENGTSFORS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58179-2019</t>
        </is>
      </c>
      <c r="B123" s="1" t="n">
        <v>43770</v>
      </c>
      <c r="C123" s="1" t="n">
        <v>45475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58972-2019</t>
        </is>
      </c>
      <c r="B124" s="1" t="n">
        <v>43774</v>
      </c>
      <c r="C124" s="1" t="n">
        <v>45475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58964-2019</t>
        </is>
      </c>
      <c r="B125" s="1" t="n">
        <v>43774</v>
      </c>
      <c r="C125" s="1" t="n">
        <v>45475</v>
      </c>
      <c r="D125" t="inlineStr">
        <is>
          <t>VÄSTRA GÖTALANDS LÄN</t>
        </is>
      </c>
      <c r="E125" t="inlineStr">
        <is>
          <t>BENGTSFORS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59215-2019</t>
        </is>
      </c>
      <c r="B126" s="1" t="n">
        <v>43775</v>
      </c>
      <c r="C126" s="1" t="n">
        <v>45475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Övriga Aktiebolag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59548-2019</t>
        </is>
      </c>
      <c r="B127" s="1" t="n">
        <v>43776</v>
      </c>
      <c r="C127" s="1" t="n">
        <v>45475</v>
      </c>
      <c r="D127" t="inlineStr">
        <is>
          <t>VÄSTRA GÖTALANDS LÄN</t>
        </is>
      </c>
      <c r="E127" t="inlineStr">
        <is>
          <t>BENGTSFORS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59952-2019</t>
        </is>
      </c>
      <c r="B128" s="1" t="n">
        <v>43777</v>
      </c>
      <c r="C128" s="1" t="n">
        <v>45475</v>
      </c>
      <c r="D128" t="inlineStr">
        <is>
          <t>VÄSTRA GÖTALANDS LÄN</t>
        </is>
      </c>
      <c r="E128" t="inlineStr">
        <is>
          <t>BENGTSFORS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60666-2019</t>
        </is>
      </c>
      <c r="B129" s="1" t="n">
        <v>43781</v>
      </c>
      <c r="C129" s="1" t="n">
        <v>45475</v>
      </c>
      <c r="D129" t="inlineStr">
        <is>
          <t>VÄSTRA GÖTALANDS LÄN</t>
        </is>
      </c>
      <c r="E129" t="inlineStr">
        <is>
          <t>BENGTSFORS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61233-2019</t>
        </is>
      </c>
      <c r="B130" s="1" t="n">
        <v>43783</v>
      </c>
      <c r="C130" s="1" t="n">
        <v>45475</v>
      </c>
      <c r="D130" t="inlineStr">
        <is>
          <t>VÄSTRA GÖTALANDS LÄN</t>
        </is>
      </c>
      <c r="E130" t="inlineStr">
        <is>
          <t>BENGTSFORS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61359-2019</t>
        </is>
      </c>
      <c r="B131" s="1" t="n">
        <v>43783</v>
      </c>
      <c r="C131" s="1" t="n">
        <v>45475</v>
      </c>
      <c r="D131" t="inlineStr">
        <is>
          <t>VÄSTRA GÖTALANDS LÄN</t>
        </is>
      </c>
      <c r="E131" t="inlineStr">
        <is>
          <t>BENGTSFORS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61741-2019</t>
        </is>
      </c>
      <c r="B132" s="1" t="n">
        <v>43784</v>
      </c>
      <c r="C132" s="1" t="n">
        <v>45475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62144-2019</t>
        </is>
      </c>
      <c r="B133" s="1" t="n">
        <v>43787</v>
      </c>
      <c r="C133" s="1" t="n">
        <v>45475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64665-2019</t>
        </is>
      </c>
      <c r="B134" s="1" t="n">
        <v>43794</v>
      </c>
      <c r="C134" s="1" t="n">
        <v>45475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63960-2019</t>
        </is>
      </c>
      <c r="B135" s="1" t="n">
        <v>43796</v>
      </c>
      <c r="C135" s="1" t="n">
        <v>45475</v>
      </c>
      <c r="D135" t="inlineStr">
        <is>
          <t>VÄSTRA GÖTALANDS LÄN</t>
        </is>
      </c>
      <c r="E135" t="inlineStr">
        <is>
          <t>BENGTSFORS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64230-2019</t>
        </is>
      </c>
      <c r="B136" s="1" t="n">
        <v>43797</v>
      </c>
      <c r="C136" s="1" t="n">
        <v>45475</v>
      </c>
      <c r="D136" t="inlineStr">
        <is>
          <t>VÄSTRA GÖTALANDS LÄN</t>
        </is>
      </c>
      <c r="E136" t="inlineStr">
        <is>
          <t>BENGTSFORS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64279-2019</t>
        </is>
      </c>
      <c r="B137" s="1" t="n">
        <v>43797</v>
      </c>
      <c r="C137" s="1" t="n">
        <v>45475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64228-2019</t>
        </is>
      </c>
      <c r="B138" s="1" t="n">
        <v>43797</v>
      </c>
      <c r="C138" s="1" t="n">
        <v>45475</v>
      </c>
      <c r="D138" t="inlineStr">
        <is>
          <t>VÄSTRA GÖTALANDS LÄN</t>
        </is>
      </c>
      <c r="E138" t="inlineStr">
        <is>
          <t>BENGTSFORS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64220-2019</t>
        </is>
      </c>
      <c r="B139" s="1" t="n">
        <v>43797</v>
      </c>
      <c r="C139" s="1" t="n">
        <v>45475</v>
      </c>
      <c r="D139" t="inlineStr">
        <is>
          <t>VÄSTRA GÖTALANDS LÄN</t>
        </is>
      </c>
      <c r="E139" t="inlineStr">
        <is>
          <t>BENGTSFORS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64274-2019</t>
        </is>
      </c>
      <c r="B140" s="1" t="n">
        <v>43797</v>
      </c>
      <c r="C140" s="1" t="n">
        <v>45475</v>
      </c>
      <c r="D140" t="inlineStr">
        <is>
          <t>VÄSTRA GÖTALANDS LÄN</t>
        </is>
      </c>
      <c r="E140" t="inlineStr">
        <is>
          <t>BENGTSFORS</t>
        </is>
      </c>
      <c r="G140" t="n">
        <v>30.5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65930-2019</t>
        </is>
      </c>
      <c r="B141" s="1" t="n">
        <v>43801</v>
      </c>
      <c r="C141" s="1" t="n">
        <v>45475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65361-2019</t>
        </is>
      </c>
      <c r="B142" s="1" t="n">
        <v>43803</v>
      </c>
      <c r="C142" s="1" t="n">
        <v>45475</v>
      </c>
      <c r="D142" t="inlineStr">
        <is>
          <t>VÄSTRA GÖTALANDS LÄN</t>
        </is>
      </c>
      <c r="E142" t="inlineStr">
        <is>
          <t>BENGTSFORS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65453-2019</t>
        </is>
      </c>
      <c r="B143" s="1" t="n">
        <v>43803</v>
      </c>
      <c r="C143" s="1" t="n">
        <v>45475</v>
      </c>
      <c r="D143" t="inlineStr">
        <is>
          <t>VÄSTRA GÖTALANDS LÄN</t>
        </is>
      </c>
      <c r="E143" t="inlineStr">
        <is>
          <t>BENGTSFORS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65525-2019</t>
        </is>
      </c>
      <c r="B144" s="1" t="n">
        <v>43803</v>
      </c>
      <c r="C144" s="1" t="n">
        <v>45475</v>
      </c>
      <c r="D144" t="inlineStr">
        <is>
          <t>VÄSTRA GÖTALANDS LÄN</t>
        </is>
      </c>
      <c r="E144" t="inlineStr">
        <is>
          <t>BENGTSFORS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65852-2019</t>
        </is>
      </c>
      <c r="B145" s="1" t="n">
        <v>43805</v>
      </c>
      <c r="C145" s="1" t="n">
        <v>45475</v>
      </c>
      <c r="D145" t="inlineStr">
        <is>
          <t>VÄSTRA GÖTALANDS LÄN</t>
        </is>
      </c>
      <c r="E145" t="inlineStr">
        <is>
          <t>BENGTSFORS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67648-2019</t>
        </is>
      </c>
      <c r="B146" s="1" t="n">
        <v>43809</v>
      </c>
      <c r="C146" s="1" t="n">
        <v>45475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66610-2019</t>
        </is>
      </c>
      <c r="B147" s="1" t="n">
        <v>43809</v>
      </c>
      <c r="C147" s="1" t="n">
        <v>45475</v>
      </c>
      <c r="D147" t="inlineStr">
        <is>
          <t>VÄSTRA GÖTALANDS LÄN</t>
        </is>
      </c>
      <c r="E147" t="inlineStr">
        <is>
          <t>BENGTSFORS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67129-2019</t>
        </is>
      </c>
      <c r="B148" s="1" t="n">
        <v>43811</v>
      </c>
      <c r="C148" s="1" t="n">
        <v>45475</v>
      </c>
      <c r="D148" t="inlineStr">
        <is>
          <t>VÄSTRA GÖTALANDS LÄN</t>
        </is>
      </c>
      <c r="E148" t="inlineStr">
        <is>
          <t>BENGTSFORS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67421-2019</t>
        </is>
      </c>
      <c r="B149" s="1" t="n">
        <v>43812</v>
      </c>
      <c r="C149" s="1" t="n">
        <v>45475</v>
      </c>
      <c r="D149" t="inlineStr">
        <is>
          <t>VÄSTRA GÖTALANDS LÄN</t>
        </is>
      </c>
      <c r="E149" t="inlineStr">
        <is>
          <t>BENGTSFORS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67685-2019</t>
        </is>
      </c>
      <c r="B150" s="1" t="n">
        <v>43815</v>
      </c>
      <c r="C150" s="1" t="n">
        <v>45475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67687-2019</t>
        </is>
      </c>
      <c r="B151" s="1" t="n">
        <v>43815</v>
      </c>
      <c r="C151" s="1" t="n">
        <v>45475</v>
      </c>
      <c r="D151" t="inlineStr">
        <is>
          <t>VÄSTRA GÖTALANDS LÄN</t>
        </is>
      </c>
      <c r="E151" t="inlineStr">
        <is>
          <t>BENGTSFORS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67610-2019</t>
        </is>
      </c>
      <c r="B152" s="1" t="n">
        <v>43815</v>
      </c>
      <c r="C152" s="1" t="n">
        <v>45475</v>
      </c>
      <c r="D152" t="inlineStr">
        <is>
          <t>VÄSTRA GÖTALANDS LÄN</t>
        </is>
      </c>
      <c r="E152" t="inlineStr">
        <is>
          <t>BENGTSFORS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68138-2019</t>
        </is>
      </c>
      <c r="B153" s="1" t="n">
        <v>43817</v>
      </c>
      <c r="C153" s="1" t="n">
        <v>45475</v>
      </c>
      <c r="D153" t="inlineStr">
        <is>
          <t>VÄSTRA GÖTALANDS LÄN</t>
        </is>
      </c>
      <c r="E153" t="inlineStr">
        <is>
          <t>BENGTSFORS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68140-2019</t>
        </is>
      </c>
      <c r="B154" s="1" t="n">
        <v>43817</v>
      </c>
      <c r="C154" s="1" t="n">
        <v>45475</v>
      </c>
      <c r="D154" t="inlineStr">
        <is>
          <t>VÄSTRA GÖTALANDS LÄN</t>
        </is>
      </c>
      <c r="E154" t="inlineStr">
        <is>
          <t>BENGTSFORS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68437-2019</t>
        </is>
      </c>
      <c r="B155" s="1" t="n">
        <v>43818</v>
      </c>
      <c r="C155" s="1" t="n">
        <v>45475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68697-2019</t>
        </is>
      </c>
      <c r="B156" s="1" t="n">
        <v>43819</v>
      </c>
      <c r="C156" s="1" t="n">
        <v>45475</v>
      </c>
      <c r="D156" t="inlineStr">
        <is>
          <t>VÄSTRA GÖTALANDS LÄN</t>
        </is>
      </c>
      <c r="E156" t="inlineStr">
        <is>
          <t>BENGTSFORS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506-2020</t>
        </is>
      </c>
      <c r="B157" s="1" t="n">
        <v>43837</v>
      </c>
      <c r="C157" s="1" t="n">
        <v>45475</v>
      </c>
      <c r="D157" t="inlineStr">
        <is>
          <t>VÄSTRA GÖTALANDS LÄN</t>
        </is>
      </c>
      <c r="E157" t="inlineStr">
        <is>
          <t>BENGTSFORS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669-2020</t>
        </is>
      </c>
      <c r="B158" s="1" t="n">
        <v>43838</v>
      </c>
      <c r="C158" s="1" t="n">
        <v>45475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894-2020</t>
        </is>
      </c>
      <c r="B159" s="1" t="n">
        <v>43839</v>
      </c>
      <c r="C159" s="1" t="n">
        <v>45475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2312-2020</t>
        </is>
      </c>
      <c r="B160" s="1" t="n">
        <v>43846</v>
      </c>
      <c r="C160" s="1" t="n">
        <v>45475</v>
      </c>
      <c r="D160" t="inlineStr">
        <is>
          <t>VÄSTRA GÖTALANDS LÄN</t>
        </is>
      </c>
      <c r="E160" t="inlineStr">
        <is>
          <t>BENGTSFORS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2545-2020</t>
        </is>
      </c>
      <c r="B161" s="1" t="n">
        <v>43847</v>
      </c>
      <c r="C161" s="1" t="n">
        <v>45475</v>
      </c>
      <c r="D161" t="inlineStr">
        <is>
          <t>VÄSTRA GÖTALANDS LÄN</t>
        </is>
      </c>
      <c r="E161" t="inlineStr">
        <is>
          <t>BENGTSFORS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2882-2020</t>
        </is>
      </c>
      <c r="B162" s="1" t="n">
        <v>43850</v>
      </c>
      <c r="C162" s="1" t="n">
        <v>45475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5205-2020</t>
        </is>
      </c>
      <c r="B163" s="1" t="n">
        <v>43854</v>
      </c>
      <c r="C163" s="1" t="n">
        <v>45475</v>
      </c>
      <c r="D163" t="inlineStr">
        <is>
          <t>VÄSTRA GÖTALANDS LÄN</t>
        </is>
      </c>
      <c r="E163" t="inlineStr">
        <is>
          <t>BENGTSFORS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3944-2020</t>
        </is>
      </c>
      <c r="B164" s="1" t="n">
        <v>43854</v>
      </c>
      <c r="C164" s="1" t="n">
        <v>45475</v>
      </c>
      <c r="D164" t="inlineStr">
        <is>
          <t>VÄSTRA GÖTALANDS LÄN</t>
        </is>
      </c>
      <c r="E164" t="inlineStr">
        <is>
          <t>BENGTSFORS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4445-2020</t>
        </is>
      </c>
      <c r="B165" s="1" t="n">
        <v>43858</v>
      </c>
      <c r="C165" s="1" t="n">
        <v>45475</v>
      </c>
      <c r="D165" t="inlineStr">
        <is>
          <t>VÄSTRA GÖTALANDS LÄN</t>
        </is>
      </c>
      <c r="E165" t="inlineStr">
        <is>
          <t>BENGTSFORS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4915-2020</t>
        </is>
      </c>
      <c r="B166" s="1" t="n">
        <v>43859</v>
      </c>
      <c r="C166" s="1" t="n">
        <v>45475</v>
      </c>
      <c r="D166" t="inlineStr">
        <is>
          <t>VÄSTRA GÖTALANDS LÄN</t>
        </is>
      </c>
      <c r="E166" t="inlineStr">
        <is>
          <t>BENGTSFORS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5843-2020</t>
        </is>
      </c>
      <c r="B167" s="1" t="n">
        <v>43864</v>
      </c>
      <c r="C167" s="1" t="n">
        <v>45475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5835-2020</t>
        </is>
      </c>
      <c r="B168" s="1" t="n">
        <v>43864</v>
      </c>
      <c r="C168" s="1" t="n">
        <v>45475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5991-2020</t>
        </is>
      </c>
      <c r="B169" s="1" t="n">
        <v>43864</v>
      </c>
      <c r="C169" s="1" t="n">
        <v>45475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6109-2020</t>
        </is>
      </c>
      <c r="B170" s="1" t="n">
        <v>43864</v>
      </c>
      <c r="C170" s="1" t="n">
        <v>45475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6108-2020</t>
        </is>
      </c>
      <c r="B171" s="1" t="n">
        <v>43865</v>
      </c>
      <c r="C171" s="1" t="n">
        <v>45475</v>
      </c>
      <c r="D171" t="inlineStr">
        <is>
          <t>VÄSTRA GÖTALANDS LÄN</t>
        </is>
      </c>
      <c r="E171" t="inlineStr">
        <is>
          <t>BENGTSFORS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7083-2020</t>
        </is>
      </c>
      <c r="B172" s="1" t="n">
        <v>43868</v>
      </c>
      <c r="C172" s="1" t="n">
        <v>45475</v>
      </c>
      <c r="D172" t="inlineStr">
        <is>
          <t>VÄSTRA GÖTALANDS LÄN</t>
        </is>
      </c>
      <c r="E172" t="inlineStr">
        <is>
          <t>BENGTSFORS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7089-2020</t>
        </is>
      </c>
      <c r="B173" s="1" t="n">
        <v>43868</v>
      </c>
      <c r="C173" s="1" t="n">
        <v>45475</v>
      </c>
      <c r="D173" t="inlineStr">
        <is>
          <t>VÄSTRA GÖTALANDS LÄN</t>
        </is>
      </c>
      <c r="E173" t="inlineStr">
        <is>
          <t>BENGTSFORS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7684-2020</t>
        </is>
      </c>
      <c r="B174" s="1" t="n">
        <v>43872</v>
      </c>
      <c r="C174" s="1" t="n">
        <v>45475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7853-2020</t>
        </is>
      </c>
      <c r="B175" s="1" t="n">
        <v>43873</v>
      </c>
      <c r="C175" s="1" t="n">
        <v>45475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8162-2020</t>
        </is>
      </c>
      <c r="B176" s="1" t="n">
        <v>43873</v>
      </c>
      <c r="C176" s="1" t="n">
        <v>45475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8168-2020</t>
        </is>
      </c>
      <c r="B177" s="1" t="n">
        <v>43874</v>
      </c>
      <c r="C177" s="1" t="n">
        <v>45475</v>
      </c>
      <c r="D177" t="inlineStr">
        <is>
          <t>VÄSTRA GÖTALANDS LÄN</t>
        </is>
      </c>
      <c r="E177" t="inlineStr">
        <is>
          <t>BENGTSFORS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8177-2020</t>
        </is>
      </c>
      <c r="B178" s="1" t="n">
        <v>43874</v>
      </c>
      <c r="C178" s="1" t="n">
        <v>45475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9490-2020</t>
        </is>
      </c>
      <c r="B179" s="1" t="n">
        <v>43880</v>
      </c>
      <c r="C179" s="1" t="n">
        <v>45475</v>
      </c>
      <c r="D179" t="inlineStr">
        <is>
          <t>VÄSTRA GÖTALANDS LÄN</t>
        </is>
      </c>
      <c r="E179" t="inlineStr">
        <is>
          <t>BENGTSFORS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9864-2020</t>
        </is>
      </c>
      <c r="B180" s="1" t="n">
        <v>43882</v>
      </c>
      <c r="C180" s="1" t="n">
        <v>45475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10381-2020</t>
        </is>
      </c>
      <c r="B181" s="1" t="n">
        <v>43885</v>
      </c>
      <c r="C181" s="1" t="n">
        <v>45475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11230-2020</t>
        </is>
      </c>
      <c r="B182" s="1" t="n">
        <v>43892</v>
      </c>
      <c r="C182" s="1" t="n">
        <v>45475</v>
      </c>
      <c r="D182" t="inlineStr">
        <is>
          <t>VÄSTRA GÖTALANDS LÄN</t>
        </is>
      </c>
      <c r="E182" t="inlineStr">
        <is>
          <t>BENGTSFORS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11208-2020</t>
        </is>
      </c>
      <c r="B183" s="1" t="n">
        <v>43892</v>
      </c>
      <c r="C183" s="1" t="n">
        <v>45475</v>
      </c>
      <c r="D183" t="inlineStr">
        <is>
          <t>VÄSTRA GÖTALANDS LÄN</t>
        </is>
      </c>
      <c r="E183" t="inlineStr">
        <is>
          <t>BENGTSFORS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11227-2020</t>
        </is>
      </c>
      <c r="B184" s="1" t="n">
        <v>43892</v>
      </c>
      <c r="C184" s="1" t="n">
        <v>45475</v>
      </c>
      <c r="D184" t="inlineStr">
        <is>
          <t>VÄSTRA GÖTALANDS LÄN</t>
        </is>
      </c>
      <c r="E184" t="inlineStr">
        <is>
          <t>BENGTSFORS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11713-2020</t>
        </is>
      </c>
      <c r="B185" s="1" t="n">
        <v>43894</v>
      </c>
      <c r="C185" s="1" t="n">
        <v>45475</v>
      </c>
      <c r="D185" t="inlineStr">
        <is>
          <t>VÄSTRA GÖTALANDS LÄN</t>
        </is>
      </c>
      <c r="E185" t="inlineStr">
        <is>
          <t>BENGTSFORS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12010-2020</t>
        </is>
      </c>
      <c r="B186" s="1" t="n">
        <v>43894</v>
      </c>
      <c r="C186" s="1" t="n">
        <v>45475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12857-2020</t>
        </is>
      </c>
      <c r="B187" s="1" t="n">
        <v>43899</v>
      </c>
      <c r="C187" s="1" t="n">
        <v>45475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12835-2020</t>
        </is>
      </c>
      <c r="B188" s="1" t="n">
        <v>43899</v>
      </c>
      <c r="C188" s="1" t="n">
        <v>45475</v>
      </c>
      <c r="D188" t="inlineStr">
        <is>
          <t>VÄSTRA GÖTALANDS LÄN</t>
        </is>
      </c>
      <c r="E188" t="inlineStr">
        <is>
          <t>BENGTSFORS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12859-2020</t>
        </is>
      </c>
      <c r="B189" s="1" t="n">
        <v>43899</v>
      </c>
      <c r="C189" s="1" t="n">
        <v>45475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14166-2020</t>
        </is>
      </c>
      <c r="B190" s="1" t="n">
        <v>43899</v>
      </c>
      <c r="C190" s="1" t="n">
        <v>45475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13000-2020</t>
        </is>
      </c>
      <c r="B191" s="1" t="n">
        <v>43900</v>
      </c>
      <c r="C191" s="1" t="n">
        <v>45475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13055-2020</t>
        </is>
      </c>
      <c r="B192" s="1" t="n">
        <v>43900</v>
      </c>
      <c r="C192" s="1" t="n">
        <v>45475</v>
      </c>
      <c r="D192" t="inlineStr">
        <is>
          <t>VÄSTRA GÖTALANDS LÄN</t>
        </is>
      </c>
      <c r="E192" t="inlineStr">
        <is>
          <t>BENGTSFORS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12993-2020</t>
        </is>
      </c>
      <c r="B193" s="1" t="n">
        <v>43900</v>
      </c>
      <c r="C193" s="1" t="n">
        <v>45475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13289-2020</t>
        </is>
      </c>
      <c r="B194" s="1" t="n">
        <v>43901</v>
      </c>
      <c r="C194" s="1" t="n">
        <v>45475</v>
      </c>
      <c r="D194" t="inlineStr">
        <is>
          <t>VÄSTRA GÖTALANDS LÄN</t>
        </is>
      </c>
      <c r="E194" t="inlineStr">
        <is>
          <t>BENGTSFORS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14748-2020</t>
        </is>
      </c>
      <c r="B195" s="1" t="n">
        <v>43902</v>
      </c>
      <c r="C195" s="1" t="n">
        <v>45475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13589-2020</t>
        </is>
      </c>
      <c r="B196" s="1" t="n">
        <v>43903</v>
      </c>
      <c r="C196" s="1" t="n">
        <v>45475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14159-2020</t>
        </is>
      </c>
      <c r="B197" s="1" t="n">
        <v>43907</v>
      </c>
      <c r="C197" s="1" t="n">
        <v>45475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14448-2020</t>
        </is>
      </c>
      <c r="B198" s="1" t="n">
        <v>43908</v>
      </c>
      <c r="C198" s="1" t="n">
        <v>45475</v>
      </c>
      <c r="D198" t="inlineStr">
        <is>
          <t>VÄSTRA GÖTALANDS LÄN</t>
        </is>
      </c>
      <c r="E198" t="inlineStr">
        <is>
          <t>BENGTSFORS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14641-2020</t>
        </is>
      </c>
      <c r="B199" s="1" t="n">
        <v>43909</v>
      </c>
      <c r="C199" s="1" t="n">
        <v>45475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15083-2020</t>
        </is>
      </c>
      <c r="B200" s="1" t="n">
        <v>43910</v>
      </c>
      <c r="C200" s="1" t="n">
        <v>45475</v>
      </c>
      <c r="D200" t="inlineStr">
        <is>
          <t>VÄSTRA GÖTALANDS LÄN</t>
        </is>
      </c>
      <c r="E200" t="inlineStr">
        <is>
          <t>BENGTSFORS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15387-2020</t>
        </is>
      </c>
      <c r="B201" s="1" t="n">
        <v>43913</v>
      </c>
      <c r="C201" s="1" t="n">
        <v>45475</v>
      </c>
      <c r="D201" t="inlineStr">
        <is>
          <t>VÄSTRA GÖTALANDS LÄN</t>
        </is>
      </c>
      <c r="E201" t="inlineStr">
        <is>
          <t>BENGTSFORS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17209-2020</t>
        </is>
      </c>
      <c r="B202" s="1" t="n">
        <v>43913</v>
      </c>
      <c r="C202" s="1" t="n">
        <v>45475</v>
      </c>
      <c r="D202" t="inlineStr">
        <is>
          <t>VÄSTRA GÖTALANDS LÄN</t>
        </is>
      </c>
      <c r="E202" t="inlineStr">
        <is>
          <t>BENGTSFORS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15386-2020</t>
        </is>
      </c>
      <c r="B203" s="1" t="n">
        <v>43913</v>
      </c>
      <c r="C203" s="1" t="n">
        <v>45475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15522-2020</t>
        </is>
      </c>
      <c r="B204" s="1" t="n">
        <v>43914</v>
      </c>
      <c r="C204" s="1" t="n">
        <v>45475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15758-2020</t>
        </is>
      </c>
      <c r="B205" s="1" t="n">
        <v>43915</v>
      </c>
      <c r="C205" s="1" t="n">
        <v>45475</v>
      </c>
      <c r="D205" t="inlineStr">
        <is>
          <t>VÄSTRA GÖTALANDS LÄN</t>
        </is>
      </c>
      <c r="E205" t="inlineStr">
        <is>
          <t>BENGTSFORS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17054-2020</t>
        </is>
      </c>
      <c r="B206" s="1" t="n">
        <v>43921</v>
      </c>
      <c r="C206" s="1" t="n">
        <v>45475</v>
      </c>
      <c r="D206" t="inlineStr">
        <is>
          <t>VÄSTRA GÖTALANDS LÄN</t>
        </is>
      </c>
      <c r="E206" t="inlineStr">
        <is>
          <t>BENGTSFORS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17059-2020</t>
        </is>
      </c>
      <c r="B207" s="1" t="n">
        <v>43921</v>
      </c>
      <c r="C207" s="1" t="n">
        <v>45475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17748-2020</t>
        </is>
      </c>
      <c r="B208" s="1" t="n">
        <v>43924</v>
      </c>
      <c r="C208" s="1" t="n">
        <v>45475</v>
      </c>
      <c r="D208" t="inlineStr">
        <is>
          <t>VÄSTRA GÖTALANDS LÄN</t>
        </is>
      </c>
      <c r="E208" t="inlineStr">
        <is>
          <t>BENGTSFORS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18521-2020</t>
        </is>
      </c>
      <c r="B209" s="1" t="n">
        <v>43927</v>
      </c>
      <c r="C209" s="1" t="n">
        <v>45475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18407-2020</t>
        </is>
      </c>
      <c r="B210" s="1" t="n">
        <v>43928</v>
      </c>
      <c r="C210" s="1" t="n">
        <v>45475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18738-2020</t>
        </is>
      </c>
      <c r="B211" s="1" t="n">
        <v>43930</v>
      </c>
      <c r="C211" s="1" t="n">
        <v>45475</v>
      </c>
      <c r="D211" t="inlineStr">
        <is>
          <t>VÄSTRA GÖTALANDS LÄN</t>
        </is>
      </c>
      <c r="E211" t="inlineStr">
        <is>
          <t>BENGTSFORS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19030-2020</t>
        </is>
      </c>
      <c r="B212" s="1" t="n">
        <v>43936</v>
      </c>
      <c r="C212" s="1" t="n">
        <v>45475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19424-2020</t>
        </is>
      </c>
      <c r="B213" s="1" t="n">
        <v>43938</v>
      </c>
      <c r="C213" s="1" t="n">
        <v>45475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19429-2020</t>
        </is>
      </c>
      <c r="B214" s="1" t="n">
        <v>43938</v>
      </c>
      <c r="C214" s="1" t="n">
        <v>45475</v>
      </c>
      <c r="D214" t="inlineStr">
        <is>
          <t>VÄSTRA GÖTALANDS LÄN</t>
        </is>
      </c>
      <c r="E214" t="inlineStr">
        <is>
          <t>BENGTSFORS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19722-2020</t>
        </is>
      </c>
      <c r="B215" s="1" t="n">
        <v>43941</v>
      </c>
      <c r="C215" s="1" t="n">
        <v>45475</v>
      </c>
      <c r="D215" t="inlineStr">
        <is>
          <t>VÄSTRA GÖTALANDS LÄN</t>
        </is>
      </c>
      <c r="E215" t="inlineStr">
        <is>
          <t>BENGTSFORS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45475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45475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45475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45475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45475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45475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45475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45475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45475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45475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45475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45475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45475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45475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45475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45475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45475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45475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45475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45475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45475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45475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45475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45475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45475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45475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45475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45475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45475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45475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45475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45475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45475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45475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45475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45475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45475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45475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45475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45475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45475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45475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45475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45475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45475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45475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45475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45475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45475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45475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45475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45475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45475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45475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45475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45475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45475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45475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45475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45475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45475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45475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45475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45475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45475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45475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45475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45475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45475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45475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45475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45475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45475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45475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45475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45475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45475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45475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45475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45475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45475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45475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45475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45475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45475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45475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45475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45475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45475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45475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45475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45475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45475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45475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45475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45475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45475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45475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45475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45475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45475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45475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45475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45475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45475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45475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45475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45475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45475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45475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45475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45475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45475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45475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45475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45475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45475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45475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45475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45475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45475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45475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45475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45475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45475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45475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45475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45475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45475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45475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45475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45475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45475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45475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45475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45475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45475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45475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45475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45475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45475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45475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45475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45475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45475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45475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45475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45475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45475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45475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45475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45475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45475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45475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45475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45475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45475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45475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45475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45475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45475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45475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45475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45475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45475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45475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45475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45475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45475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45475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45475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45475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45475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45475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45475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45475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45475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45475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45475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45475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45475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45475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45475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45475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45475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45475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45475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45475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45475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45475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45475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45475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45475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45475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45475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45475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45475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45475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45475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45475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45475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45475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45475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45475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45475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45475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45475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45475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45475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45475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45475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45475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45475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45475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45475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45475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45475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45475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45475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45475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45475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45475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45475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45475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45475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45475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45475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45475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45475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45475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45475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45475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45475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45475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45475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45475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45475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45475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45475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45475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45475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45475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45475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45475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45475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45475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45475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45475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45475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45475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45475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45475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45475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45475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45475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45475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45475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45475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45475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45475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45475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45475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45475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45475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45475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45475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45475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45475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45475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45475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45475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45475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45475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45475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45475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45475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45475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45475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45475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45475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45475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45475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45475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45475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45475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45475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45475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45475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45475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45475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45475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45475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45475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45475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45475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45475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45475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45475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45475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45475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45475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45475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45475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45475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45475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45475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45475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45475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45475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45475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45475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45475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45475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45475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45475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45475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45475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45475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45475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45475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45475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45475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45475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45475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45475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45475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45475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45475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45475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45475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45475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45475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45475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45475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45475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45475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45475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45475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45475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45475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45475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45475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45475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45475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45475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45475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45475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45475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45475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45475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45475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45475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45475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45475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45475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45475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45475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45475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45475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45475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45475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45475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45475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45475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45475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45475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45475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45475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45475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45475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45475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45475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45475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45475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45475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45475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45475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45475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45475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45475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45475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45475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45475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45475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45475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45475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45475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45475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45475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45475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45475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45475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45475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45475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45475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45475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45475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45475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45475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45475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45475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45475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45475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45475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45475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45475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45475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45475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45475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45475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45475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45475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45475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45475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45475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45475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45475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45475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45475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45475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45475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45475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45475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45475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45475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45475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45475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45475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45475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45475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45475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45475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45475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45475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45475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45475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45475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45475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45475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45475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45475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45475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45475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45475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45475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45475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45475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45475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45475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45475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45475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45475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45475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45475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45475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45475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45475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45475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45475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45475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45475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45475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45475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45475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45475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45475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45475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45475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45475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45475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45475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45475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45475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45475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45475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45475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45475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45475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45475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45475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45475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45475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45475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45475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45475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45475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45475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45475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45475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45475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45475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45475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45475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45475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45475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45475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45475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45475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45475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45475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45475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45475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45475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45475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45475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45475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45475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45475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45475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45475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45475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45475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45475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45475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45475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45475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45475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45475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45475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45475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45475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45475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45475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45475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45475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45475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45475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45475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45475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45475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45475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45475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45475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45475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45475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45475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45475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45475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45475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45475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45475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45475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45475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45475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45475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45475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45475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45475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45475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45475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45475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45475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45475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45475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45475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45475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45475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45475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45475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45475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45475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45475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45475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45475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45475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45475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45475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45475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45475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45475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45475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45475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45475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45475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45475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45475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45475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45475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45475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45475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45475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45475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45475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45475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45475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45475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45475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45475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45475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45475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45475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45475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45475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45475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45475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45475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45475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45475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45475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45475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45475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45475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45475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45475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45475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45475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45475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45475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45475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45475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45475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45475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45475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45475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45475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45475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45475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45475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45475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45475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45475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45475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45475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45475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45475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45475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45475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45475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45475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45475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45475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45475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45475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45475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45475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45475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45475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45475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45475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45475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45475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45475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45475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45475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45475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45475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45475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45475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45475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45475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45475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45475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45475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45475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45475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45475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45475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45475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45475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45475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45475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45475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45475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45475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45475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45475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45475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45475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45475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45475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45475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45475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45475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45475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45475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45475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45475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45475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45475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45475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45475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45475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45475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45475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45475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45475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45475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45475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45475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45475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45475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45475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45475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45475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45475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45475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45475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45475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45475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45475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45475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45475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45475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45475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45475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45475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45475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45475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45475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45475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45475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45475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45475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45475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45475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45475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45475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45475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45475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45475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45475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45475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45475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45475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45475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45475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45475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45475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45475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45475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22344-2024</t>
        </is>
      </c>
      <c r="B946" s="1" t="n">
        <v>45446</v>
      </c>
      <c r="C946" s="1" t="n">
        <v>45475</v>
      </c>
      <c r="D946" t="inlineStr">
        <is>
          <t>VÄSTRA GÖTALANDS LÄN</t>
        </is>
      </c>
      <c r="E946" t="inlineStr">
        <is>
          <t>BENGTSFORS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22377-2024</t>
        </is>
      </c>
      <c r="B947" s="1" t="n">
        <v>45446</v>
      </c>
      <c r="C947" s="1" t="n">
        <v>45475</v>
      </c>
      <c r="D947" t="inlineStr">
        <is>
          <t>VÄSTRA GÖTALANDS LÄN</t>
        </is>
      </c>
      <c r="E947" t="inlineStr">
        <is>
          <t>BENGTSFORS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45475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45475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45475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45475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45475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45475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45475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45475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25887-2024</t>
        </is>
      </c>
      <c r="B956" s="1" t="n">
        <v>45467</v>
      </c>
      <c r="C956" s="1" t="n">
        <v>45475</v>
      </c>
      <c r="D956" t="inlineStr">
        <is>
          <t>VÄSTRA GÖTALANDS LÄN</t>
        </is>
      </c>
      <c r="E956" t="inlineStr">
        <is>
          <t>BENGTSFORS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45475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27478-2024</t>
        </is>
      </c>
      <c r="B958" s="1" t="n">
        <v>45474</v>
      </c>
      <c r="C958" s="1" t="n">
        <v>45475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2024-07-02T10:36:35Z</dcterms:created>
  <dcterms:modified xmlns:dcterms="http://purl.org/dc/terms/" xmlns:xsi="http://www.w3.org/2001/XMLSchema-instance" xsi:type="dcterms:W3CDTF">2024-07-02T10:36:36Z</dcterms:modified>
</cp:coreProperties>
</file>